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C:\Users\Shafi\Desktop\Shafi\"/>
    </mc:Choice>
  </mc:AlternateContent>
  <bookViews>
    <workbookView xWindow="0" yWindow="0" windowWidth="20490" windowHeight="7755"/>
  </bookViews>
  <sheets>
    <sheet name="Start" sheetId="1" r:id="rId1"/>
    <sheet name="Summary" sheetId="2" r:id="rId2"/>
    <sheet name="RegionTemp" sheetId="3" r:id="rId3"/>
    <sheet name="Map" sheetId="4" r:id="rId4"/>
    <sheet name="NewData" sheetId="5" r:id="rId5"/>
  </sheets>
  <definedNames>
    <definedName name="_xlnm._FilterDatabase" localSheetId="3" hidden="1">Map!$G$8:$G$10</definedName>
    <definedName name="_xlnm._FilterDatabase" localSheetId="1" hidden="1">Summary!$A$1:$H$1</definedName>
    <definedName name="MRegion">Map!$G$9:$G$10</definedName>
    <definedName name="Slicer_Company_Name">#N/A</definedName>
  </definedNames>
  <calcPr calcId="152511"/>
  <pivotCaches>
    <pivotCache cacheId="6"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2" i="3" l="1"/>
  <c r="M2" i="3" s="1"/>
  <c r="K2" i="3"/>
  <c r="J2" i="3"/>
  <c r="I2" i="3"/>
</calcChain>
</file>

<file path=xl/sharedStrings.xml><?xml version="1.0" encoding="utf-8"?>
<sst xmlns="http://schemas.openxmlformats.org/spreadsheetml/2006/main" count="171" uniqueCount="86">
  <si>
    <t>Company ID</t>
  </si>
  <si>
    <t>Sales Document</t>
  </si>
  <si>
    <t>Document Date</t>
  </si>
  <si>
    <t>Customer code</t>
  </si>
  <si>
    <t>Article code</t>
  </si>
  <si>
    <t>Reject</t>
  </si>
  <si>
    <t>Quantity</t>
  </si>
  <si>
    <t>Sales Value</t>
  </si>
  <si>
    <t>1030AT</t>
  </si>
  <si>
    <t>Company Name</t>
  </si>
  <si>
    <t>Customer Name</t>
  </si>
  <si>
    <t>Article Description</t>
  </si>
  <si>
    <t>Currency</t>
  </si>
  <si>
    <t>Sales US Dollar</t>
  </si>
  <si>
    <t>Regional Sales by Customer</t>
  </si>
  <si>
    <t>Article Overview by Company</t>
  </si>
  <si>
    <t>Regional Overview</t>
  </si>
  <si>
    <t>Customer</t>
  </si>
  <si>
    <t>$ Sales</t>
  </si>
  <si>
    <t xml:space="preserve"> </t>
  </si>
  <si>
    <t>Werner Strauss</t>
  </si>
  <si>
    <t>Aida GmbH</t>
  </si>
  <si>
    <t>Liebher</t>
  </si>
  <si>
    <t>Edson</t>
  </si>
  <si>
    <t>Total</t>
  </si>
  <si>
    <t>Article</t>
  </si>
  <si>
    <t xml:space="preserve">Quantity </t>
  </si>
  <si>
    <t xml:space="preserve">Reject </t>
  </si>
  <si>
    <t xml:space="preserve">Reject % </t>
  </si>
  <si>
    <t>Women evening dress long black</t>
  </si>
  <si>
    <t>Unisex tank top white</t>
  </si>
  <si>
    <t>Smartphone case diamond</t>
  </si>
  <si>
    <t>Women evening dress Cocktail red</t>
  </si>
  <si>
    <t>Women basics</t>
  </si>
  <si>
    <t>Smartphone case simple</t>
  </si>
  <si>
    <t>Laptop bag red</t>
  </si>
  <si>
    <t>Women crop top black</t>
  </si>
  <si>
    <t>Laptop bag black</t>
  </si>
  <si>
    <t>Women type T simple black</t>
  </si>
  <si>
    <t>Women type T simple white</t>
  </si>
  <si>
    <t>Unisex tank top black</t>
  </si>
  <si>
    <t>Row Labels</t>
  </si>
  <si>
    <t>Sales in US Dollar</t>
  </si>
  <si>
    <t xml:space="preserve"> Quantity</t>
  </si>
  <si>
    <t>Bere Kleid</t>
  </si>
  <si>
    <t>Lucas Basics</t>
  </si>
  <si>
    <t xml:space="preserve"> Sales US</t>
  </si>
  <si>
    <t>Master Data &amp;</t>
  </si>
  <si>
    <t>Mapping Table</t>
  </si>
  <si>
    <t>Company Mapping</t>
  </si>
  <si>
    <t>Company code</t>
  </si>
  <si>
    <t>Region</t>
  </si>
  <si>
    <t>Regions</t>
  </si>
  <si>
    <t>1010US</t>
  </si>
  <si>
    <t>Urban Right</t>
  </si>
  <si>
    <t>USD</t>
  </si>
  <si>
    <t>America</t>
  </si>
  <si>
    <t>1020US</t>
  </si>
  <si>
    <t>Meta Creations</t>
  </si>
  <si>
    <t>Europe</t>
  </si>
  <si>
    <t>EUR</t>
  </si>
  <si>
    <t>1040DE</t>
  </si>
  <si>
    <t>Ship to Party Mapping</t>
  </si>
  <si>
    <t>Dellicia</t>
  </si>
  <si>
    <t>Erma</t>
  </si>
  <si>
    <t>Article Number Mapping</t>
  </si>
  <si>
    <t>Description</t>
  </si>
  <si>
    <t>Men type T simple white</t>
  </si>
  <si>
    <t>Men type T simple black</t>
  </si>
  <si>
    <t>Men basics</t>
  </si>
  <si>
    <t>Men dress shirt white</t>
  </si>
  <si>
    <t>Men dress shirt black</t>
  </si>
  <si>
    <t>Men dress shirt grey</t>
  </si>
  <si>
    <t>Men shorts grey</t>
  </si>
  <si>
    <t>Men shorts black</t>
  </si>
  <si>
    <t>Average monthly exchange rates</t>
  </si>
  <si>
    <t>Month</t>
  </si>
  <si>
    <t>EUR to $</t>
  </si>
  <si>
    <t>Task Completed</t>
  </si>
  <si>
    <t/>
  </si>
  <si>
    <t>Aida GmbH Total</t>
  </si>
  <si>
    <t>Bere Kleid Total</t>
  </si>
  <si>
    <t>Werner Strauss Total</t>
  </si>
  <si>
    <t>Edson Total</t>
  </si>
  <si>
    <t>Liebher Total</t>
  </si>
  <si>
    <t>Lucas Basics Total</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</si>
</sst>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quot;* #,##0.00_);_(&quot;$&quot;* \(#,##0.00\);_(&quot;$&quot;* &quot;-&quot;??_);_(@_)"/>
    <numFmt numFmtId="164" formatCode="0.0%"/>
  </numFmts>
  <fonts count="9" x14ac:knownFonts="1">
    <font>
      <sz val="11"/>
      <color theme="1"/>
      <name val="Calibri"/>
      <family val="2"/>
      <scheme val="minor"/>
    </font>
    <font>
      <b/>
      <sz val="11"/>
      <color theme="0"/>
      <name val="Calibri"/>
      <family val="2"/>
      <scheme val="minor"/>
    </font>
    <font>
      <b/>
      <sz val="10"/>
      <color indexed="9"/>
      <name val="Calibri"/>
      <family val="2"/>
      <scheme val="minor"/>
    </font>
    <font>
      <b/>
      <sz val="10"/>
      <color theme="0"/>
      <name val="Calibri"/>
      <family val="2"/>
      <scheme val="minor"/>
    </font>
    <font>
      <sz val="10"/>
      <color theme="0"/>
      <name val="Calibri"/>
      <family val="2"/>
      <scheme val="minor"/>
    </font>
    <font>
      <b/>
      <sz val="11"/>
      <name val="Calibri"/>
      <family val="2"/>
      <scheme val="minor"/>
    </font>
    <font>
      <sz val="8"/>
      <color theme="1"/>
      <name val="Arial"/>
      <family val="2"/>
    </font>
    <font>
      <b/>
      <sz val="11"/>
      <color indexed="9"/>
      <name val="Calibri"/>
      <family val="2"/>
      <scheme val="minor"/>
    </font>
    <font>
      <b/>
      <sz val="11"/>
      <color theme="1"/>
      <name val="Calibri"/>
      <family val="2"/>
      <scheme val="minor"/>
    </font>
  </fonts>
  <fills count="8">
    <fill>
      <patternFill patternType="none"/>
    </fill>
    <fill>
      <patternFill patternType="gray125"/>
    </fill>
    <fill>
      <patternFill patternType="solid">
        <fgColor theme="9" tint="-0.249977111117893"/>
        <bgColor indexed="64"/>
      </patternFill>
    </fill>
    <fill>
      <patternFill patternType="solid">
        <fgColor theme="2" tint="-0.499984740745262"/>
        <bgColor indexed="64"/>
      </patternFill>
    </fill>
    <fill>
      <patternFill patternType="solid">
        <fgColor theme="4" tint="-0.249977111117893"/>
        <bgColor indexed="64"/>
      </patternFill>
    </fill>
    <fill>
      <patternFill patternType="solid">
        <fgColor theme="2" tint="-0.749992370372631"/>
        <bgColor indexed="64"/>
      </patternFill>
    </fill>
    <fill>
      <patternFill patternType="solid">
        <fgColor indexed="44"/>
        <bgColor indexed="64"/>
      </patternFill>
    </fill>
    <fill>
      <patternFill patternType="solid">
        <fgColor theme="3"/>
        <bgColor indexed="64"/>
      </patternFill>
    </fill>
  </fills>
  <borders count="4">
    <border>
      <left/>
      <right/>
      <top/>
      <bottom/>
      <diagonal/>
    </border>
    <border>
      <left/>
      <right style="thin">
        <color theme="0" tint="-0.24994659260841701"/>
      </right>
      <top/>
      <bottom/>
      <diagonal/>
    </border>
    <border>
      <left/>
      <right/>
      <top/>
      <bottom style="thin">
        <color indexed="64"/>
      </bottom>
      <diagonal/>
    </border>
    <border>
      <left/>
      <right/>
      <top/>
      <bottom style="thin">
        <color theme="0" tint="-0.14996795556505021"/>
      </bottom>
      <diagonal/>
    </border>
  </borders>
  <cellStyleXfs count="1">
    <xf numFmtId="0" fontId="0" fillId="0" borderId="0"/>
  </cellStyleXfs>
  <cellXfs count="32">
    <xf numFmtId="0" fontId="0" fillId="0" borderId="0" xfId="0"/>
    <xf numFmtId="14" fontId="0" fillId="0" borderId="0" xfId="0" applyNumberFormat="1"/>
    <xf numFmtId="0" fontId="0" fillId="0" borderId="0" xfId="0" applyNumberFormat="1" applyFont="1" applyProtection="1"/>
    <xf numFmtId="0" fontId="0" fillId="4" borderId="0" xfId="0" applyFill="1"/>
    <xf numFmtId="0" fontId="3" fillId="4" borderId="0" xfId="0" applyFont="1" applyFill="1" applyAlignment="1">
      <alignment horizontal="left" vertical="center"/>
    </xf>
    <xf numFmtId="0" fontId="3" fillId="4" borderId="0" xfId="0" applyFont="1" applyFill="1"/>
    <xf numFmtId="0" fontId="3" fillId="4" borderId="0" xfId="0" applyFont="1" applyFill="1" applyAlignment="1">
      <alignment horizontal="center" vertical="center"/>
    </xf>
    <xf numFmtId="0" fontId="4" fillId="4" borderId="0" xfId="0" applyFont="1" applyFill="1"/>
    <xf numFmtId="0" fontId="0" fillId="0" borderId="0" xfId="0" applyAlignment="1">
      <alignment horizontal="right"/>
    </xf>
    <xf numFmtId="0" fontId="0" fillId="0" borderId="0" xfId="0" pivotButton="1"/>
    <xf numFmtId="9" fontId="2" fillId="3" borderId="0" xfId="0" applyNumberFormat="1" applyFont="1" applyFill="1" applyBorder="1" applyAlignment="1">
      <alignment horizontal="center" vertical="center" wrapText="1"/>
    </xf>
    <xf numFmtId="10" fontId="0" fillId="0" borderId="0" xfId="0" applyNumberFormat="1"/>
    <xf numFmtId="0" fontId="0" fillId="0" borderId="1" xfId="0" applyBorder="1"/>
    <xf numFmtId="3" fontId="0" fillId="0" borderId="0" xfId="0" applyNumberFormat="1"/>
    <xf numFmtId="1" fontId="0" fillId="0" borderId="0" xfId="0" applyNumberFormat="1"/>
    <xf numFmtId="0" fontId="0" fillId="0" borderId="0" xfId="0" applyNumberFormat="1"/>
    <xf numFmtId="164" fontId="0" fillId="0" borderId="0" xfId="0" applyNumberFormat="1"/>
    <xf numFmtId="0" fontId="0" fillId="0" borderId="0" xfId="0" applyAlignment="1">
      <alignment horizontal="center"/>
    </xf>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44" fontId="0" fillId="0" borderId="0" xfId="0" applyNumberFormat="1"/>
    <xf numFmtId="0" fontId="0" fillId="5" borderId="0" xfId="0" applyFill="1" applyBorder="1"/>
    <xf numFmtId="0" fontId="1" fillId="5" borderId="0" xfId="0" applyFont="1" applyFill="1" applyBorder="1"/>
    <xf numFmtId="0" fontId="0" fillId="0" borderId="2" xfId="0" applyBorder="1"/>
    <xf numFmtId="0" fontId="0" fillId="0" borderId="0" xfId="0" applyBorder="1"/>
    <xf numFmtId="49" fontId="5" fillId="6" borderId="0" xfId="0" applyNumberFormat="1" applyFont="1" applyFill="1" applyBorder="1" applyAlignment="1">
      <alignment horizontal="left" vertical="center" wrapText="1"/>
    </xf>
    <xf numFmtId="0" fontId="1" fillId="7" borderId="3" xfId="0" applyNumberFormat="1" applyFont="1" applyFill="1" applyBorder="1" applyAlignment="1" applyProtection="1">
      <alignment horizontal="center" vertical="center" wrapText="1"/>
      <protection locked="0"/>
    </xf>
    <xf numFmtId="0" fontId="0" fillId="0" borderId="0" xfId="0" applyNumberFormat="1" applyBorder="1"/>
    <xf numFmtId="0" fontId="6" fillId="0" borderId="0" xfId="0" applyFont="1"/>
    <xf numFmtId="0" fontId="7" fillId="2" borderId="0" xfId="0" applyFont="1" applyFill="1" applyBorder="1" applyAlignment="1">
      <alignment horizontal="center" vertical="center" wrapText="1"/>
    </xf>
    <xf numFmtId="0" fontId="8" fillId="0" borderId="2" xfId="0" applyFont="1" applyBorder="1"/>
  </cellXfs>
  <cellStyles count="1">
    <cellStyle name="Normal" xfId="0" builtinId="0"/>
  </cellStyles>
  <dxfs count="44">
    <dxf>
      <numFmt numFmtId="19" formatCode="dd/mm/yy"/>
    </dxf>
    <dxf>
      <font>
        <b val="0"/>
        <i val="0"/>
        <strike val="0"/>
        <condense val="0"/>
        <extend val="0"/>
        <outline val="0"/>
        <shadow val="0"/>
        <u val="none"/>
        <vertAlign val="baseline"/>
        <sz val="8"/>
        <color theme="1"/>
        <name val="Arial"/>
        <scheme val="none"/>
      </font>
    </dxf>
    <dxf>
      <border outline="0">
        <bottom style="medium">
          <color indexed="64"/>
        </bottom>
      </border>
    </dxf>
    <dxf>
      <font>
        <b val="0"/>
        <i val="0"/>
        <strike val="0"/>
        <condense val="0"/>
        <extend val="0"/>
        <outline val="0"/>
        <shadow val="0"/>
        <u val="none"/>
        <vertAlign val="baseline"/>
        <sz val="11"/>
        <color theme="1"/>
        <name val="Calibri"/>
        <scheme val="minor"/>
      </font>
      <numFmt numFmtId="0" formatCode="General"/>
      <protection locked="1" hidden="0"/>
    </dxf>
    <dxf>
      <font>
        <b val="0"/>
        <i val="0"/>
        <strike val="0"/>
        <condense val="0"/>
        <extend val="0"/>
        <outline val="0"/>
        <shadow val="0"/>
        <u val="none"/>
        <vertAlign val="baseline"/>
        <sz val="11"/>
        <color theme="1"/>
        <name val="Calibri"/>
        <scheme val="minor"/>
      </font>
      <numFmt numFmtId="0" formatCode="General"/>
      <protection locked="1" hidden="0"/>
    </dxf>
    <dxf>
      <font>
        <b val="0"/>
        <i val="0"/>
        <strike val="0"/>
        <condense val="0"/>
        <extend val="0"/>
        <outline val="0"/>
        <shadow val="0"/>
        <u val="none"/>
        <vertAlign val="baseline"/>
        <sz val="11"/>
        <color theme="1"/>
        <name val="Calibri"/>
        <scheme val="minor"/>
      </font>
      <numFmt numFmtId="19" formatCode="dd/mm/yy"/>
      <protection locked="1" hidden="0"/>
    </dxf>
    <dxf>
      <font>
        <b val="0"/>
        <i val="0"/>
        <strike val="0"/>
        <condense val="0"/>
        <extend val="0"/>
        <outline val="0"/>
        <shadow val="0"/>
        <u val="none"/>
        <vertAlign val="baseline"/>
        <sz val="11"/>
        <color theme="1"/>
        <name val="Calibri"/>
        <scheme val="minor"/>
      </font>
      <numFmt numFmtId="0" formatCode="General"/>
      <protection locked="1" hidden="0"/>
    </dxf>
    <dxf>
      <font>
        <b val="0"/>
        <i val="0"/>
        <strike val="0"/>
        <condense val="0"/>
        <extend val="0"/>
        <outline val="0"/>
        <shadow val="0"/>
        <u val="none"/>
        <vertAlign val="baseline"/>
        <sz val="11"/>
        <color theme="1"/>
        <name val="Calibri"/>
        <scheme val="minor"/>
      </font>
      <numFmt numFmtId="0" formatCode="General"/>
      <protection locked="1" hidden="0"/>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1"/>
        <color theme="1"/>
        <name val="Calibri"/>
        <scheme val="minor"/>
      </font>
      <protection locked="1" hidden="0"/>
    </dxf>
    <dxf>
      <font>
        <b/>
        <i val="0"/>
        <strike val="0"/>
        <condense val="0"/>
        <extend val="0"/>
        <outline val="0"/>
        <shadow val="0"/>
        <u val="none"/>
        <vertAlign val="baseline"/>
        <sz val="10"/>
        <color indexed="9"/>
        <name val="Calibri"/>
        <scheme val="minor"/>
      </font>
      <numFmt numFmtId="13" formatCode="0%"/>
      <fill>
        <patternFill patternType="solid">
          <fgColor indexed="64"/>
          <bgColor theme="2" tint="-0.499984740745262"/>
        </patternFill>
      </fill>
      <alignment horizontal="center" vertical="center" textRotation="0" wrapText="1" indent="0" justifyLastLine="0" shrinkToFit="0" readingOrder="0"/>
    </dxf>
    <dxf>
      <alignment horizontal="right"/>
    </dxf>
    <dxf>
      <alignment horizontal="general"/>
    </dxf>
    <dxf>
      <numFmt numFmtId="164" formatCode="0.0%"/>
    </dxf>
    <dxf>
      <numFmt numFmtId="14" formatCode="0.00%"/>
    </dxf>
    <dxf>
      <alignment horizontal="right"/>
    </dxf>
    <dxf>
      <numFmt numFmtId="14" formatCode="0.00%"/>
    </dxf>
    <dxf>
      <numFmt numFmtId="34" formatCode="_(&quot;$&quot;* #,##0.00_);_(&quot;$&quot;* \(#,##0.00\);_(&quot;$&quot;* &quot;-&quot;??_);_(@_)"/>
    </dxf>
    <dxf>
      <alignment horizontal="right"/>
    </dxf>
    <dxf>
      <alignment horizontal="right"/>
    </dxf>
    <dxf>
      <alignment horizontal="right"/>
    </dxf>
    <dxf>
      <alignment horizontal="center"/>
    </dxf>
    <dxf>
      <alignment horizontal="center"/>
    </dxf>
    <dxf>
      <alignment horizontal="right"/>
    </dxf>
    <dxf>
      <alignment horizontal="right"/>
    </dxf>
    <dxf>
      <numFmt numFmtId="1" formatCode="0"/>
    </dxf>
    <dxf>
      <numFmt numFmtId="3" formatCode="#,##0"/>
    </dxf>
    <dxf>
      <numFmt numFmtId="0" formatCode="General"/>
    </dxf>
    <dxf>
      <alignment horizontal="right"/>
    </dxf>
    <dxf>
      <alignment horizontal="right"/>
    </dxf>
    <dxf>
      <border>
        <bottom style="medium">
          <color auto="1"/>
        </bottom>
      </border>
    </dxf>
    <dxf>
      <font>
        <b/>
        <color theme="1"/>
      </font>
      <border>
        <bottom style="thin">
          <color theme="6"/>
        </bottom>
        <vertical/>
        <horizontal/>
      </border>
    </dxf>
    <dxf>
      <font>
        <color theme="1"/>
      </font>
      <border diagonalUp="0" diagonalDown="0">
        <left/>
        <right/>
        <top/>
        <bottom/>
        <vertical/>
        <horizontal/>
      </border>
    </dxf>
    <dxf>
      <border>
        <top style="thin">
          <color theme="1" tint="0.499984740745262"/>
        </top>
        <bottom style="thin">
          <color theme="1" tint="0.499984740745262"/>
        </bottom>
        <vertical style="thick">
          <color theme="0"/>
        </vertical>
      </border>
    </dxf>
    <dxf>
      <border>
        <top/>
        <bottom style="thin">
          <color theme="1" tint="0.499984740745262"/>
        </bottom>
      </border>
    </dxf>
    <dxf>
      <font>
        <b/>
        <color theme="1" tint="0.499984740745262"/>
      </font>
    </dxf>
    <dxf>
      <font>
        <b/>
        <color theme="1"/>
      </font>
    </dxf>
    <dxf>
      <font>
        <b/>
        <color theme="1" tint="0.499984740745262"/>
      </font>
    </dxf>
    <dxf>
      <font>
        <b/>
        <color theme="1"/>
      </font>
    </dxf>
    <dxf>
      <fill>
        <patternFill patternType="solid">
          <fgColor theme="0" tint="-0.14999847407452621"/>
          <bgColor theme="0" tint="-0.14999847407452621"/>
        </patternFill>
      </fill>
      <border>
        <left style="thin">
          <color theme="0" tint="-0.34998626667073579"/>
        </left>
        <right style="thin">
          <color theme="0" tint="-0.34998626667073579"/>
        </right>
        <top/>
        <bottom style="thin">
          <color theme="0" tint="-0.34998626667073579"/>
        </bottom>
        <vertical style="thin">
          <color theme="0" tint="-0.34998626667073579"/>
        </vertical>
        <horizontal style="thin">
          <color theme="0" tint="-0.34998626667073579"/>
        </horizontal>
      </border>
    </dxf>
    <dxf>
      <fill>
        <patternFill patternType="solid">
          <fgColor theme="0" tint="-0.14999847407452621"/>
          <bgColor theme="0" tint="-0.14999847407452621"/>
        </patternFill>
      </fill>
      <border>
        <top/>
        <bottom style="thin">
          <color theme="0" tint="-0.34998626667073579"/>
        </bottom>
      </border>
    </dxf>
    <dxf>
      <font>
        <b/>
        <color theme="1"/>
      </font>
      <fill>
        <patternFill patternType="solid">
          <fgColor theme="0"/>
          <bgColor theme="0"/>
        </patternFill>
      </fill>
      <border>
        <top style="thin">
          <color theme="1" tint="0.499984740745262"/>
        </top>
        <bottom style="thin">
          <color theme="1" tint="0.499984740745262"/>
        </bottom>
      </border>
    </dxf>
    <dxf>
      <font>
        <b/>
        <color theme="1"/>
      </font>
      <border>
        <top/>
        <bottom style="thin">
          <color theme="1" tint="0.499984740745262"/>
        </bottom>
      </border>
    </dxf>
    <dxf>
      <font>
        <color theme="1"/>
      </font>
      <border>
        <left style="thin">
          <color theme="0"/>
        </left>
        <right style="thin">
          <color theme="0"/>
        </right>
        <top style="thin">
          <color theme="0"/>
        </top>
        <vertical style="thick">
          <color theme="0"/>
        </vertical>
        <horizontal style="thin">
          <color theme="0" tint="-0.14999847407452621"/>
        </horizontal>
      </border>
    </dxf>
  </dxfs>
  <tableStyles count="4" defaultTableStyle="TableStyleMedium2" defaultPivotStyle="PivotStyleLight16">
    <tableStyle name="MyPivotStyle" table="0" count="11">
      <tableStyleElement type="wholeTable" dxfId="43"/>
      <tableStyleElement type="headerRow" dxfId="42"/>
      <tableStyleElement type="totalRow" dxfId="41"/>
      <tableStyleElement type="firstRowStripe" dxfId="40"/>
      <tableStyleElement type="firstColumnStripe" dxfId="39"/>
      <tableStyleElement type="firstSubtotalRow" dxfId="38"/>
      <tableStyleElement type="secondSubtotalRow" dxfId="37"/>
      <tableStyleElement type="firstRowSubheading" dxfId="36"/>
      <tableStyleElement type="secondRowSubheading" dxfId="35"/>
      <tableStyleElement type="pageFieldLabels" dxfId="34"/>
      <tableStyleElement type="pageFieldValues" dxfId="33"/>
    </tableStyle>
    <tableStyle name="MySlicer" pivot="0" table="0" count="10">
      <tableStyleElement type="wholeTable" dxfId="32"/>
      <tableStyleElement type="headerRow" dxfId="31"/>
    </tableStyle>
    <tableStyle name="Table Style 1" pivot="0" count="0"/>
    <tableStyle name="Table Style 1 2" pivot="0" count="1">
      <tableStyleElement type="wholeTable" dxfId="30"/>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6" tint="0.59999389629810485"/>
              <bgColor theme="1" tint="0.49998474074526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BFBFB"/>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My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[Monthly Sales Report.xlsm]RegionTemp!PTRegion</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pivotFmt>
    </c:pivotFmts>
    <c:plotArea>
      <c:layout/>
      <c:barChart>
        <c:barDir val="bar"/>
        <c:grouping val="clustered"/>
        <c:varyColors val="0"/>
        <c:ser>
          <c:idx val="0"/>
          <c:order val="0"/>
          <c:tx>
            <c:strRef>
              <c:f>RegionTemp!$T$2</c:f>
              <c:strCache>
                <c:ptCount val="1"/>
                <c:pt idx="0">
                  <c:v> Sales US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RegionTemp!$S$3:$S$7</c:f>
              <c:strCache>
                <c:ptCount val="4"/>
                <c:pt idx="0">
                  <c:v>Aida GmbH</c:v>
                </c:pt>
                <c:pt idx="1">
                  <c:v>Werner Strauss</c:v>
                </c:pt>
                <c:pt idx="2">
                  <c:v>Edson</c:v>
                </c:pt>
                <c:pt idx="3">
                  <c:v>Liebher</c:v>
                </c:pt>
              </c:strCache>
            </c:strRef>
          </c:cat>
          <c:val>
            <c:numRef>
              <c:f>RegionTemp!$T$3:$T$7</c:f>
              <c:numCache>
                <c:formatCode>_("$"* #,##0.00_);_("$"* \(#,##0.00\);_("$"* "-"??_);_(@_)</c:formatCode>
                <c:ptCount val="4"/>
                <c:pt idx="0">
                  <c:v>174854.43999999997</c:v>
                </c:pt>
                <c:pt idx="1">
                  <c:v>378530.11</c:v>
                </c:pt>
                <c:pt idx="2">
                  <c:v>36846.080000000002</c:v>
                </c:pt>
                <c:pt idx="3">
                  <c:v>58511.98</c:v>
                </c:pt>
              </c:numCache>
            </c:numRef>
          </c:val>
        </c:ser>
        <c:ser>
          <c:idx val="1"/>
          <c:order val="1"/>
          <c:tx>
            <c:strRef>
              <c:f>RegionTemp!$U$2</c:f>
              <c:strCache>
                <c:ptCount val="1"/>
                <c:pt idx="0">
                  <c:v> </c:v>
                </c:pt>
              </c:strCache>
            </c:strRef>
          </c:tx>
          <c:spPr>
            <a:solidFill>
              <a:schemeClr val="accent2"/>
            </a:solidFill>
            <a:ln>
              <a:noFill/>
            </a:ln>
            <a:effectLst/>
          </c:spPr>
          <c:invertIfNegative val="0"/>
          <c:dLbls>
            <c:delete val="1"/>
          </c:dLbls>
          <c:cat>
            <c:strRef>
              <c:f>RegionTemp!$S$3:$S$7</c:f>
              <c:strCache>
                <c:ptCount val="4"/>
                <c:pt idx="0">
                  <c:v>Aida GmbH</c:v>
                </c:pt>
                <c:pt idx="1">
                  <c:v>Werner Strauss</c:v>
                </c:pt>
                <c:pt idx="2">
                  <c:v>Edson</c:v>
                </c:pt>
                <c:pt idx="3">
                  <c:v>Liebher</c:v>
                </c:pt>
              </c:strCache>
            </c:strRef>
          </c:cat>
          <c:val>
            <c:numRef>
              <c:f>RegionTemp!$U$3:$U$7</c:f>
              <c:numCache>
                <c:formatCode>0.00%</c:formatCode>
                <c:ptCount val="4"/>
                <c:pt idx="0">
                  <c:v>0.269528218595045</c:v>
                </c:pt>
                <c:pt idx="1">
                  <c:v>0.58348273131003381</c:v>
                </c:pt>
                <c:pt idx="2">
                  <c:v>5.6796146009277869E-2</c:v>
                </c:pt>
                <c:pt idx="3">
                  <c:v>9.0192904085643483E-2</c:v>
                </c:pt>
              </c:numCache>
            </c:numRef>
          </c:val>
        </c:ser>
        <c:dLbls>
          <c:dLblPos val="outEnd"/>
          <c:showLegendKey val="0"/>
          <c:showVal val="1"/>
          <c:showCatName val="0"/>
          <c:showSerName val="0"/>
          <c:showPercent val="0"/>
          <c:showBubbleSize val="0"/>
        </c:dLbls>
        <c:gapWidth val="182"/>
        <c:axId val="-1443047536"/>
        <c:axId val="-1443045360"/>
      </c:barChart>
      <c:catAx>
        <c:axId val="-14430475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3045360"/>
        <c:crosses val="autoZero"/>
        <c:auto val="1"/>
        <c:lblAlgn val="ctr"/>
        <c:lblOffset val="100"/>
        <c:noMultiLvlLbl val="0"/>
      </c:catAx>
      <c:valAx>
        <c:axId val="-1443045360"/>
        <c:scaling>
          <c:orientation val="minMax"/>
        </c:scaling>
        <c:delete val="1"/>
        <c:axPos val="b"/>
        <c:numFmt formatCode="_(&quot;$&quot;* #,##0.00_);_(&quot;$&quot;* \(#,##0.00\);_(&quot;$&quot;* &quot;-&quot;??_);_(@_)" sourceLinked="1"/>
        <c:majorTickMark val="none"/>
        <c:minorTickMark val="none"/>
        <c:tickLblPos val="nextTo"/>
        <c:crossAx val="-1443047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9.svg"/><Relationship Id="rId3" Type="http://schemas.openxmlformats.org/officeDocument/2006/relationships/image" Target="../media/image3.png"/><Relationship Id="rId2" Type="http://schemas.openxmlformats.org/officeDocument/2006/relationships/image" Target="../media/image3.svg"/><Relationship Id="rId132" Type="http://schemas.openxmlformats.org/officeDocument/2006/relationships/image" Target="../media/image6.png"/><Relationship Id="rId1" Type="http://schemas.openxmlformats.org/officeDocument/2006/relationships/image" Target="../media/image2.png"/><Relationship Id="rId131" Type="http://schemas.openxmlformats.org/officeDocument/2006/relationships/image" Target="../media/image5.png"/><Relationship Id="rId128" Type="http://schemas.openxmlformats.org/officeDocument/2006/relationships/image" Target="../media/image128.svg"/><Relationship Id="rId130" Type="http://schemas.openxmlformats.org/officeDocument/2006/relationships/image" Target="../media/image130.svg"/><Relationship Id="rId122" Type="http://schemas.openxmlformats.org/officeDocument/2006/relationships/image" Target="../media/image122.svg"/><Relationship Id="rId9"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xdr:col>
      <xdr:colOff>0</xdr:colOff>
      <xdr:row>7</xdr:row>
      <xdr:rowOff>0</xdr:rowOff>
    </xdr:from>
    <xdr:to>
      <xdr:col>2</xdr:col>
      <xdr:colOff>330204</xdr:colOff>
      <xdr:row>11</xdr:row>
      <xdr:rowOff>109106</xdr:rowOff>
    </xdr:to>
    <xdr:pic macro="[0]!Import_Sales">
      <xdr:nvPicPr>
        <xdr:cNvPr id="4" name="Graphic 17" descr="Open Folder">
          <a:extLst>
            <a:ext uri="{FF2B5EF4-FFF2-40B4-BE49-F238E27FC236}">
              <a16:creationId xmlns:a16="http://schemas.microsoft.com/office/drawing/2014/main" xmlns="" id="{00000000-0008-0000-0000-00001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xmlns="" r:embed="rId2"/>
            </a:ext>
          </a:extLst>
        </a:blip>
        <a:stretch>
          <a:fillRect/>
        </a:stretch>
      </xdr:blipFill>
      <xdr:spPr>
        <a:xfrm>
          <a:off x="609600" y="1524000"/>
          <a:ext cx="939804" cy="87110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590550</xdr:colOff>
          <xdr:row>10</xdr:row>
          <xdr:rowOff>161925</xdr:rowOff>
        </xdr:from>
        <xdr:to>
          <xdr:col>7</xdr:col>
          <xdr:colOff>409575</xdr:colOff>
          <xdr:row>12</xdr:row>
          <xdr:rowOff>0</xdr:rowOff>
        </xdr:to>
        <xdr:sp macro="" textlink="">
          <xdr:nvSpPr>
            <xdr:cNvPr id="1029" name="AxRegion"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219075</xdr:colOff>
      <xdr:row>1</xdr:row>
      <xdr:rowOff>85725</xdr:rowOff>
    </xdr:from>
    <xdr:to>
      <xdr:col>4</xdr:col>
      <xdr:colOff>425163</xdr:colOff>
      <xdr:row>7</xdr:row>
      <xdr:rowOff>86592</xdr:rowOff>
    </xdr:to>
    <xdr:sp macro="" textlink="">
      <xdr:nvSpPr>
        <xdr:cNvPr id="14" name="Rectangle: Top Corners One Rounded and One Snipped 5">
          <a:extLst>
            <a:ext uri="{FF2B5EF4-FFF2-40B4-BE49-F238E27FC236}">
              <a16:creationId xmlns="" xmlns:a16="http://schemas.microsoft.com/office/drawing/2014/main" id="{00000000-0008-0000-0000-000006000000}"/>
            </a:ext>
          </a:extLst>
        </xdr:cNvPr>
        <xdr:cNvSpPr/>
      </xdr:nvSpPr>
      <xdr:spPr>
        <a:xfrm>
          <a:off x="828675" y="466725"/>
          <a:ext cx="2034888" cy="1143867"/>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50"/>
            <a:t>Import Sales data from Sales</a:t>
          </a:r>
          <a:r>
            <a:rPr lang="en-US" sz="1050" baseline="0"/>
            <a:t> Document templates for one or more companies in one go</a:t>
          </a:r>
          <a:r>
            <a:rPr lang="en-US" sz="900" baseline="0"/>
            <a:t>. </a:t>
          </a:r>
          <a:r>
            <a:rPr lang="en-US" sz="900" b="0" i="1" baseline="0"/>
            <a:t>(Note: Browse and find the files - file name starts with "Sales_Document_xxx") </a:t>
          </a:r>
          <a:r>
            <a:rPr lang="en-US" sz="900" b="0" i="1"/>
            <a:t> </a:t>
          </a:r>
        </a:p>
      </xdr:txBody>
    </xdr:sp>
    <xdr:clientData/>
  </xdr:twoCellAnchor>
  <xdr:twoCellAnchor editAs="oneCell">
    <xdr:from>
      <xdr:col>4</xdr:col>
      <xdr:colOff>590550</xdr:colOff>
      <xdr:row>1</xdr:row>
      <xdr:rowOff>66675</xdr:rowOff>
    </xdr:from>
    <xdr:to>
      <xdr:col>8</xdr:col>
      <xdr:colOff>187038</xdr:colOff>
      <xdr:row>7</xdr:row>
      <xdr:rowOff>67542</xdr:rowOff>
    </xdr:to>
    <xdr:sp macro="" textlink="">
      <xdr:nvSpPr>
        <xdr:cNvPr id="15" name="Rectangle: Top Corners One Rounded and One Snipped 5">
          <a:extLst>
            <a:ext uri="{FF2B5EF4-FFF2-40B4-BE49-F238E27FC236}">
              <a16:creationId xmlns="" xmlns:a16="http://schemas.microsoft.com/office/drawing/2014/main" id="{00000000-0008-0000-0000-000006000000}"/>
            </a:ext>
          </a:extLst>
        </xdr:cNvPr>
        <xdr:cNvSpPr/>
      </xdr:nvSpPr>
      <xdr:spPr>
        <a:xfrm>
          <a:off x="3028950" y="447675"/>
          <a:ext cx="2034888" cy="1143867"/>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50" b="0" i="0"/>
            <a:t>Generate</a:t>
          </a:r>
          <a:r>
            <a:rPr lang="en-US" sz="1050" b="0" i="0" baseline="0"/>
            <a:t> the Regional &amp; Manager Reports for each region. (Create a Pivot Based Excel file for Regional Manager and a Harcoded file for Top Managers)</a:t>
          </a:r>
          <a:endParaRPr lang="en-US" sz="900" b="0" i="1"/>
        </a:p>
      </xdr:txBody>
    </xdr:sp>
    <xdr:clientData/>
  </xdr:twoCellAnchor>
  <xdr:twoCellAnchor>
    <xdr:from>
      <xdr:col>2</xdr:col>
      <xdr:colOff>219365</xdr:colOff>
      <xdr:row>8</xdr:row>
      <xdr:rowOff>47625</xdr:rowOff>
    </xdr:from>
    <xdr:to>
      <xdr:col>4</xdr:col>
      <xdr:colOff>76200</xdr:colOff>
      <xdr:row>10</xdr:row>
      <xdr:rowOff>57150</xdr:rowOff>
    </xdr:to>
    <xdr:sp macro="[0]!Import_Data" textlink="">
      <xdr:nvSpPr>
        <xdr:cNvPr id="5" name="Rectangle 4"/>
        <xdr:cNvSpPr/>
      </xdr:nvSpPr>
      <xdr:spPr>
        <a:xfrm>
          <a:off x="1438565" y="1762125"/>
          <a:ext cx="1076035" cy="390525"/>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200"/>
            <a:t>Import</a:t>
          </a:r>
          <a:r>
            <a:rPr lang="en-US" sz="1200" baseline="0"/>
            <a:t> Data</a:t>
          </a:r>
          <a:endParaRPr lang="en-US" sz="1100"/>
        </a:p>
      </xdr:txBody>
    </xdr:sp>
    <xdr:clientData/>
  </xdr:twoCellAnchor>
  <xdr:twoCellAnchor>
    <xdr:from>
      <xdr:col>5</xdr:col>
      <xdr:colOff>28576</xdr:colOff>
      <xdr:row>7</xdr:row>
      <xdr:rowOff>133350</xdr:rowOff>
    </xdr:from>
    <xdr:to>
      <xdr:col>7</xdr:col>
      <xdr:colOff>361950</xdr:colOff>
      <xdr:row>12</xdr:row>
      <xdr:rowOff>166256</xdr:rowOff>
    </xdr:to>
    <xdr:grpSp>
      <xdr:nvGrpSpPr>
        <xdr:cNvPr id="9" name="Group 8"/>
        <xdr:cNvGrpSpPr/>
      </xdr:nvGrpSpPr>
      <xdr:grpSpPr>
        <a:xfrm>
          <a:off x="3076576" y="1466850"/>
          <a:ext cx="1552574" cy="985406"/>
          <a:chOff x="3076576" y="1466850"/>
          <a:chExt cx="1552574" cy="985406"/>
        </a:xfrm>
      </xdr:grpSpPr>
      <xdr:pic macro="[0]!Create_Report">
        <xdr:nvPicPr>
          <xdr:cNvPr id="12" name="Graphic 22" descr="Closed Book">
            <a:extLst>
              <a:ext uri="{FF2B5EF4-FFF2-40B4-BE49-F238E27FC236}">
                <a16:creationId xmlns="" xmlns:a16="http://schemas.microsoft.com/office/drawing/2014/main" id="{00000000-0008-0000-0000-00001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 xmlns:asvg="http://schemas.microsoft.com/office/drawing/2016/SVG/main" r:embed="rId8"/>
              </a:ext>
            </a:extLst>
          </a:blip>
          <a:stretch>
            <a:fillRect/>
          </a:stretch>
        </xdr:blipFill>
        <xdr:spPr>
          <a:xfrm>
            <a:off x="3076576" y="1466850"/>
            <a:ext cx="628650" cy="985406"/>
          </a:xfrm>
          <a:prstGeom prst="rect">
            <a:avLst/>
          </a:prstGeom>
        </xdr:spPr>
      </xdr:pic>
      <xdr:sp macro="[0]!Create_Report" textlink="">
        <xdr:nvSpPr>
          <xdr:cNvPr id="7" name="Rectangle 6"/>
          <xdr:cNvSpPr/>
        </xdr:nvSpPr>
        <xdr:spPr>
          <a:xfrm>
            <a:off x="3638550" y="1590675"/>
            <a:ext cx="990600" cy="419101"/>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a:t>Create Report</a:t>
            </a:r>
          </a:p>
        </xdr:txBody>
      </xdr:sp>
    </xdr:grpSp>
    <xdr:clientData/>
  </xdr:twoCellAnchor>
  <xdr:twoCellAnchor>
    <xdr:from>
      <xdr:col>12</xdr:col>
      <xdr:colOff>200025</xdr:colOff>
      <xdr:row>12</xdr:row>
      <xdr:rowOff>38100</xdr:rowOff>
    </xdr:from>
    <xdr:to>
      <xdr:col>14</xdr:col>
      <xdr:colOff>142875</xdr:colOff>
      <xdr:row>14</xdr:row>
      <xdr:rowOff>9525</xdr:rowOff>
    </xdr:to>
    <xdr:sp macro="[0]!Clear_Olddata" textlink="">
      <xdr:nvSpPr>
        <xdr:cNvPr id="3" name="Rectangle 2"/>
        <xdr:cNvSpPr/>
      </xdr:nvSpPr>
      <xdr:spPr>
        <a:xfrm>
          <a:off x="7515225" y="2324100"/>
          <a:ext cx="1162050" cy="3524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a:t>Clear Data</a:t>
          </a:r>
        </a:p>
      </xdr:txBody>
    </xdr:sp>
    <xdr:clientData/>
  </xdr:twoCellAnchor>
  <xdr:twoCellAnchor editAs="oneCell">
    <xdr:from>
      <xdr:col>8</xdr:col>
      <xdr:colOff>352425</xdr:colOff>
      <xdr:row>1</xdr:row>
      <xdr:rowOff>66675</xdr:rowOff>
    </xdr:from>
    <xdr:to>
      <xdr:col>11</xdr:col>
      <xdr:colOff>558513</xdr:colOff>
      <xdr:row>7</xdr:row>
      <xdr:rowOff>67542</xdr:rowOff>
    </xdr:to>
    <xdr:sp macro="" textlink="">
      <xdr:nvSpPr>
        <xdr:cNvPr id="13" name="Rectangle: Top Corners One Rounded and One Snipped 5">
          <a:extLst>
            <a:ext uri="{FF2B5EF4-FFF2-40B4-BE49-F238E27FC236}">
              <a16:creationId xmlns="" xmlns:a16="http://schemas.microsoft.com/office/drawing/2014/main" id="{00000000-0008-0000-0000-000006000000}"/>
            </a:ext>
          </a:extLst>
        </xdr:cNvPr>
        <xdr:cNvSpPr/>
      </xdr:nvSpPr>
      <xdr:spPr>
        <a:xfrm>
          <a:off x="5229225" y="257175"/>
          <a:ext cx="2034888" cy="1143867"/>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50" b="0" i="0"/>
            <a:t>Create</a:t>
          </a:r>
          <a:r>
            <a:rPr lang="en-US" sz="1050" b="0" i="0" baseline="0"/>
            <a:t> CSV file of ALL data for the current month to be uploaded to the central system for year to  data reporting (e.g. SAP)</a:t>
          </a:r>
          <a:endParaRPr lang="en-US" sz="900" b="0" i="1"/>
        </a:p>
      </xdr:txBody>
    </xdr:sp>
    <xdr:clientData/>
  </xdr:twoCellAnchor>
  <xdr:twoCellAnchor editAs="oneCell">
    <xdr:from>
      <xdr:col>12</xdr:col>
      <xdr:colOff>152400</xdr:colOff>
      <xdr:row>1</xdr:row>
      <xdr:rowOff>57150</xdr:rowOff>
    </xdr:from>
    <xdr:to>
      <xdr:col>15</xdr:col>
      <xdr:colOff>358488</xdr:colOff>
      <xdr:row>7</xdr:row>
      <xdr:rowOff>58017</xdr:rowOff>
    </xdr:to>
    <xdr:sp macro="" textlink="">
      <xdr:nvSpPr>
        <xdr:cNvPr id="16" name="Rectangle: Top Corners One Rounded and One Snipped 5">
          <a:extLst>
            <a:ext uri="{FF2B5EF4-FFF2-40B4-BE49-F238E27FC236}">
              <a16:creationId xmlns="" xmlns:a16="http://schemas.microsoft.com/office/drawing/2014/main" id="{00000000-0008-0000-0000-000006000000}"/>
            </a:ext>
          </a:extLst>
        </xdr:cNvPr>
        <xdr:cNvSpPr/>
      </xdr:nvSpPr>
      <xdr:spPr>
        <a:xfrm>
          <a:off x="7467600" y="247650"/>
          <a:ext cx="2034888" cy="1143867"/>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b="0" i="1"/>
            <a:t>Before Wotking</a:t>
          </a:r>
          <a:r>
            <a:rPr lang="en-US" sz="1000" b="0" i="1" baseline="0"/>
            <a:t> on the next month's data . Clear values and start with Fresh</a:t>
          </a:r>
        </a:p>
        <a:p>
          <a:pPr algn="l"/>
          <a:r>
            <a:rPr lang="en-US" sz="1000" b="0" i="1" baseline="0"/>
            <a:t>Admin - Opens up the hidden tabs in case problems arise.(note:=Password = Me)</a:t>
          </a:r>
          <a:endParaRPr lang="en-US" sz="1000" b="0" i="1"/>
        </a:p>
      </xdr:txBody>
    </xdr:sp>
    <xdr:clientData/>
  </xdr:twoCellAnchor>
  <xdr:twoCellAnchor>
    <xdr:from>
      <xdr:col>11</xdr:col>
      <xdr:colOff>219075</xdr:colOff>
      <xdr:row>8</xdr:row>
      <xdr:rowOff>28575</xdr:rowOff>
    </xdr:from>
    <xdr:to>
      <xdr:col>14</xdr:col>
      <xdr:colOff>114300</xdr:colOff>
      <xdr:row>11</xdr:row>
      <xdr:rowOff>9525</xdr:rowOff>
    </xdr:to>
    <xdr:grpSp>
      <xdr:nvGrpSpPr>
        <xdr:cNvPr id="6" name="Group 5"/>
        <xdr:cNvGrpSpPr/>
      </xdr:nvGrpSpPr>
      <xdr:grpSpPr>
        <a:xfrm>
          <a:off x="6924675" y="1552575"/>
          <a:ext cx="1724025" cy="552450"/>
          <a:chOff x="6924675" y="1552575"/>
          <a:chExt cx="1724025" cy="552450"/>
        </a:xfrm>
      </xdr:grpSpPr>
      <xdr:sp macro="[0]!Admin_Entry" textlink="">
        <xdr:nvSpPr>
          <xdr:cNvPr id="11" name="Rectangle 10"/>
          <xdr:cNvSpPr/>
        </xdr:nvSpPr>
        <xdr:spPr>
          <a:xfrm>
            <a:off x="7486650" y="1638300"/>
            <a:ext cx="1162050" cy="3524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a:t>Admin</a:t>
            </a:r>
          </a:p>
        </xdr:txBody>
      </xdr:sp>
      <xdr:pic macro="[0]!Admin_Entry">
        <xdr:nvPicPr>
          <xdr:cNvPr id="17" name="Graphic 132" descr="Key">
            <a:extLst>
              <a:ext uri="{FF2B5EF4-FFF2-40B4-BE49-F238E27FC236}">
                <a16:creationId xmlns="" xmlns:a16="http://schemas.microsoft.com/office/drawing/2014/main" id="{BF12FA1E-A5C0-4EA1-AC3A-6EBED36757CF}"/>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 xmlns:asvg="http://schemas.microsoft.com/office/drawing/2016/SVG/main" r:embed="rId130"/>
              </a:ext>
            </a:extLst>
          </a:blip>
          <a:stretch>
            <a:fillRect/>
          </a:stretch>
        </xdr:blipFill>
        <xdr:spPr>
          <a:xfrm>
            <a:off x="6924675" y="1552575"/>
            <a:ext cx="876300" cy="552450"/>
          </a:xfrm>
          <a:prstGeom prst="rect">
            <a:avLst/>
          </a:prstGeom>
        </xdr:spPr>
      </xdr:pic>
    </xdr:grpSp>
    <xdr:clientData/>
  </xdr:twoCellAnchor>
  <xdr:twoCellAnchor>
    <xdr:from>
      <xdr:col>7</xdr:col>
      <xdr:colOff>542925</xdr:colOff>
      <xdr:row>7</xdr:row>
      <xdr:rowOff>47625</xdr:rowOff>
    </xdr:from>
    <xdr:to>
      <xdr:col>10</xdr:col>
      <xdr:colOff>238125</xdr:colOff>
      <xdr:row>10</xdr:row>
      <xdr:rowOff>152400</xdr:rowOff>
    </xdr:to>
    <xdr:grpSp>
      <xdr:nvGrpSpPr>
        <xdr:cNvPr id="8" name="Group 7"/>
        <xdr:cNvGrpSpPr/>
      </xdr:nvGrpSpPr>
      <xdr:grpSpPr>
        <a:xfrm>
          <a:off x="4810125" y="1381125"/>
          <a:ext cx="1524000" cy="676275"/>
          <a:chOff x="4810125" y="1381125"/>
          <a:chExt cx="1524000" cy="676275"/>
        </a:xfrm>
      </xdr:grpSpPr>
      <xdr:sp macro="[0]!Create_CSV" textlink="">
        <xdr:nvSpPr>
          <xdr:cNvPr id="2" name="Rectangle 1"/>
          <xdr:cNvSpPr/>
        </xdr:nvSpPr>
        <xdr:spPr>
          <a:xfrm>
            <a:off x="5257800" y="1600200"/>
            <a:ext cx="1076325" cy="3524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a:t>Create</a:t>
            </a:r>
            <a:r>
              <a:rPr lang="en-US" sz="1100" baseline="0"/>
              <a:t> CSV File</a:t>
            </a:r>
            <a:endParaRPr lang="en-US" sz="1100"/>
          </a:p>
        </xdr:txBody>
      </xdr:sp>
      <xdr:pic macro="[0]!Create_CSV">
        <xdr:nvPicPr>
          <xdr:cNvPr id="18" name="Graphic 124" descr="Hammer">
            <a:extLst>
              <a:ext uri="{FF2B5EF4-FFF2-40B4-BE49-F238E27FC236}">
                <a16:creationId xmlns="" xmlns:a16="http://schemas.microsoft.com/office/drawing/2014/main" id="{3B556C51-A3F8-4277-B412-200DAE90CC05}"/>
              </a:ext>
            </a:extLst>
          </xdr:cNvPr>
          <xdr:cNvPicPr>
            <a:picLocks noChangeAspect="1"/>
          </xdr:cNvPicPr>
        </xdr:nvPicPr>
        <xdr:blipFill>
          <a:blip xmlns:r="http://schemas.openxmlformats.org/officeDocument/2006/relationships" r:embed="rId131" cstate="print">
            <a:duotone>
              <a:schemeClr val="accent2">
                <a:shade val="45000"/>
                <a:satMod val="135000"/>
              </a:schemeClr>
              <a:prstClr val="white"/>
            </a:duotone>
            <a:extLst>
              <a:ext uri="{28A0092B-C50C-407E-A947-70E740481C1C}">
                <a14:useLocalDpi xmlns:a14="http://schemas.microsoft.com/office/drawing/2010/main" val="0"/>
              </a:ext>
              <a:ext uri="{96DAC541-7B7A-43D3-8B79-37D633B846F1}">
                <asvg:svgBlip xmlns="" xmlns:asvg="http://schemas.microsoft.com/office/drawing/2016/SVG/main" r:embed="rId122"/>
              </a:ext>
            </a:extLst>
          </a:blip>
          <a:stretch>
            <a:fillRect/>
          </a:stretch>
        </xdr:blipFill>
        <xdr:spPr>
          <a:xfrm>
            <a:off x="4810125" y="1381125"/>
            <a:ext cx="676275" cy="676275"/>
          </a:xfrm>
          <a:prstGeom prst="rect">
            <a:avLst/>
          </a:prstGeom>
        </xdr:spPr>
      </xdr:pic>
    </xdr:grpSp>
    <xdr:clientData/>
  </xdr:twoCellAnchor>
  <xdr:twoCellAnchor editAs="oneCell">
    <xdr:from>
      <xdr:col>11</xdr:col>
      <xdr:colOff>371475</xdr:colOff>
      <xdr:row>11</xdr:row>
      <xdr:rowOff>95250</xdr:rowOff>
    </xdr:from>
    <xdr:to>
      <xdr:col>12</xdr:col>
      <xdr:colOff>381000</xdr:colOff>
      <xdr:row>14</xdr:row>
      <xdr:rowOff>142875</xdr:rowOff>
    </xdr:to>
    <xdr:pic macro="[0]!Clear_Olddata">
      <xdr:nvPicPr>
        <xdr:cNvPr id="19" name="Graphic 130" descr="Large paint brush">
          <a:extLst>
            <a:ext uri="{FF2B5EF4-FFF2-40B4-BE49-F238E27FC236}">
              <a16:creationId xmlns="" xmlns:a16="http://schemas.microsoft.com/office/drawing/2014/main" id="{0AA30E04-579D-4835-8D67-24EEFF40A78C}"/>
            </a:ext>
          </a:extLst>
        </xdr:cNvPr>
        <xdr:cNvPicPr>
          <a:picLocks noChangeAspect="1"/>
        </xdr:cNvPicPr>
      </xdr:nvPicPr>
      <xdr:blipFill>
        <a:blip xmlns:r="http://schemas.openxmlformats.org/officeDocument/2006/relationships" r:embed="rId132" cstate="print">
          <a:duotone>
            <a:schemeClr val="accent2">
              <a:shade val="45000"/>
              <a:satMod val="135000"/>
            </a:schemeClr>
            <a:prstClr val="white"/>
          </a:duotone>
          <a:extLst>
            <a:ext uri="{28A0092B-C50C-407E-A947-70E740481C1C}">
              <a14:useLocalDpi xmlns:a14="http://schemas.microsoft.com/office/drawing/2010/main" val="0"/>
            </a:ext>
            <a:ext uri="{96DAC541-7B7A-43D3-8B79-37D633B846F1}">
              <asvg:svgBlip xmlns="" xmlns:asvg="http://schemas.microsoft.com/office/drawing/2016/SVG/main" r:embed="rId128"/>
            </a:ext>
          </a:extLst>
        </a:blip>
        <a:stretch>
          <a:fillRect/>
        </a:stretch>
      </xdr:blipFill>
      <xdr:spPr>
        <a:xfrm>
          <a:off x="7077075" y="2190750"/>
          <a:ext cx="619125" cy="6191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22</xdr:col>
      <xdr:colOff>142876</xdr:colOff>
      <xdr:row>1</xdr:row>
      <xdr:rowOff>114303</xdr:rowOff>
    </xdr:from>
    <xdr:to>
      <xdr:col>28</xdr:col>
      <xdr:colOff>495300</xdr:colOff>
      <xdr:row>3</xdr:row>
      <xdr:rowOff>123826</xdr:rowOff>
    </xdr:to>
    <mc:AlternateContent xmlns:mc="http://schemas.openxmlformats.org/markup-compatibility/2006" xmlns:a14="http://schemas.microsoft.com/office/drawing/2010/main">
      <mc:Choice Requires="a14">
        <xdr:graphicFrame macro="">
          <xdr:nvGraphicFramePr>
            <xdr:cNvPr id="3" name="Company Name">
              <a:extLst>
                <a:ext uri="{FF2B5EF4-FFF2-40B4-BE49-F238E27FC236}">
                  <a16:creationId xmlns=""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Company Name"/>
            </a:graphicData>
          </a:graphic>
        </xdr:graphicFrame>
      </mc:Choice>
      <mc:Fallback xmlns="">
        <xdr:sp macro="" textlink="">
          <xdr:nvSpPr>
            <xdr:cNvPr id="0" name=""/>
            <xdr:cNvSpPr>
              <a:spLocks noTextEdit="1"/>
            </xdr:cNvSpPr>
          </xdr:nvSpPr>
          <xdr:spPr>
            <a:xfrm>
              <a:off x="18545176" y="552453"/>
              <a:ext cx="3562349" cy="39052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76200</xdr:colOff>
      <xdr:row>9</xdr:row>
      <xdr:rowOff>142874</xdr:rowOff>
    </xdr:from>
    <xdr:to>
      <xdr:col>21</xdr:col>
      <xdr:colOff>123825</xdr:colOff>
      <xdr:row>22</xdr:row>
      <xdr:rowOff>157161</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Monthly%20Sales%20Report.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Shafi" refreshedDate="45382.541330208333" createdVersion="5" refreshedVersion="5" minRefreshableVersion="3" recordCount="77">
  <cacheSource type="worksheet">
    <worksheetSource ref="A1:M2" sheet="RegionTemp" r:id="rId2"/>
  </cacheSource>
  <cacheFields count="14">
    <cacheField name="Company ID" numFmtId="0">
      <sharedItems/>
    </cacheField>
    <cacheField name="Sales Document" numFmtId="0">
      <sharedItems containsSemiMixedTypes="0" containsString="0" containsNumber="1" containsInteger="1" minValue="44015" maxValue="88666"/>
    </cacheField>
    <cacheField name="Document Date" numFmtId="14">
      <sharedItems containsSemiMixedTypes="0" containsNonDate="0" containsDate="1" containsString="0" minDate="2018-10-04T00:00:00" maxDate="2018-10-27T00:00:00"/>
    </cacheField>
    <cacheField name="Customer code" numFmtId="0">
      <sharedItems containsSemiMixedTypes="0" containsString="0" containsNumber="1" containsInteger="1" minValue="8030" maxValue="8060"/>
    </cacheField>
    <cacheField name="Article code" numFmtId="0">
      <sharedItems containsSemiMixedTypes="0" containsString="0" containsNumber="1" containsInteger="1" minValue="103" maxValue="120"/>
    </cacheField>
    <cacheField name="Reject" numFmtId="0">
      <sharedItems containsBlank="1" containsMixedTypes="1" containsNumber="1" containsInteger="1" minValue="1" maxValue="4"/>
    </cacheField>
    <cacheField name="Quantity" numFmtId="0">
      <sharedItems containsSemiMixedTypes="0" containsString="0" containsNumber="1" containsInteger="1" minValue="50" maxValue="870"/>
    </cacheField>
    <cacheField name="Sales Value" numFmtId="0">
      <sharedItems containsSemiMixedTypes="0" containsString="0" containsNumber="1" containsInteger="1" minValue="1200" maxValue="53320"/>
    </cacheField>
    <cacheField name="Company Name" numFmtId="0">
      <sharedItems count="5">
        <s v="Bere Kleid"/>
        <s v="Lucas Basics"/>
        <s v="" u="1"/>
        <s v="Urban Right" u="1"/>
        <s v="Meta Creations" u="1"/>
      </sharedItems>
    </cacheField>
    <cacheField name="Customer Name" numFmtId="0">
      <sharedItems count="7">
        <s v="Aida GmbH"/>
        <s v="Werner Strauss"/>
        <s v="Edson"/>
        <s v="Liebher"/>
        <s v="" u="1"/>
        <s v="Erma" u="1"/>
        <s v="Dellicia" u="1"/>
      </sharedItems>
    </cacheField>
    <cacheField name="Article Description" numFmtId="14">
      <sharedItems count="20">
        <s v="Women evening dress Cocktail red"/>
        <s v="Women type T simple black"/>
        <s v="Women crop top black"/>
        <s v="Women basics"/>
        <s v="Smartphone case diamond"/>
        <s v="Women evening dress long black"/>
        <s v="Unisex tank top white"/>
        <s v="Smartphone case simple"/>
        <s v="Laptop bag red"/>
        <s v="Women type T simple white"/>
        <s v="Unisex tank top black"/>
        <s v="Laptop bag black"/>
        <s v="" u="1"/>
        <s v="Men shorts grey" u="1"/>
        <s v="Men dress shirt black" u="1"/>
        <s v="Men shorts black" u="1"/>
        <s v="Men type T simple black" u="1"/>
        <s v="Men type T simple white" u="1"/>
        <s v="Men basics" u="1"/>
        <s v="Men dress shirt grey" u="1"/>
      </sharedItems>
    </cacheField>
    <cacheField name="Currency" numFmtId="0">
      <sharedItems/>
    </cacheField>
    <cacheField name="Sales US Dollar" numFmtId="0">
      <sharedItems containsSemiMixedTypes="0" containsString="0" containsNumber="1" minValue="1409.93" maxValue="62647.75"/>
    </cacheField>
    <cacheField name="Reject %" numFmtId="0" formula="Reject/Quantity" databaseField="0"/>
  </cacheFields>
  <extLst>
    <ext xmlns:x14="http://schemas.microsoft.com/office/spreadsheetml/2009/9/main" uri="{725AE2AE-9491-48be-B2B4-4EB974FC3084}">
      <x14:pivotCacheDefinition pivotCacheId="4"/>
    </ext>
  </extLst>
</pivotCacheDefinition>
</file>

<file path=xl/pivotCache/pivotCacheRecords1.xml><?xml version="1.0" encoding="utf-8"?>
<pivotCacheRecords xmlns="http://schemas.openxmlformats.org/spreadsheetml/2006/main" xmlns:r="http://schemas.openxmlformats.org/officeDocument/2006/relationships" count="77">
  <r>
    <s v="1030AT"/>
    <n v="84030"/>
    <d v="2018-10-07T00:00:00"/>
    <n v="8050"/>
    <n v="120"/>
    <s v=""/>
    <n v="120"/>
    <n v="6960"/>
    <x v="0"/>
    <x v="0"/>
    <x v="0"/>
    <s v="EUR"/>
    <n v="8177.58"/>
  </r>
  <r>
    <s v="1030AT"/>
    <n v="84030"/>
    <d v="2018-10-07T00:00:00"/>
    <n v="8050"/>
    <n v="104"/>
    <n v="1"/>
    <n v="430"/>
    <n v="5160"/>
    <x v="0"/>
    <x v="0"/>
    <x v="1"/>
    <s v="EUR"/>
    <n v="6062.69"/>
  </r>
  <r>
    <s v="1030AT"/>
    <n v="84030"/>
    <d v="2018-10-07T00:00:00"/>
    <n v="8050"/>
    <n v="105"/>
    <s v=""/>
    <n v="120"/>
    <n v="1200"/>
    <x v="0"/>
    <x v="0"/>
    <x v="2"/>
    <s v="EUR"/>
    <n v="1409.93"/>
  </r>
  <r>
    <s v="1030AT"/>
    <n v="84030"/>
    <d v="2018-10-07T00:00:00"/>
    <n v="8050"/>
    <n v="107"/>
    <n v="1"/>
    <n v="690"/>
    <n v="3450"/>
    <x v="0"/>
    <x v="0"/>
    <x v="3"/>
    <s v="EUR"/>
    <n v="4053.54"/>
  </r>
  <r>
    <s v="1030AT"/>
    <n v="84031"/>
    <d v="2018-10-08T00:00:00"/>
    <n v="8040"/>
    <n v="104"/>
    <s v=""/>
    <n v="870"/>
    <n v="10440"/>
    <x v="0"/>
    <x v="1"/>
    <x v="1"/>
    <s v="EUR"/>
    <n v="12266.36"/>
  </r>
  <r>
    <s v="1030AT"/>
    <n v="84031"/>
    <d v="2018-10-08T00:00:00"/>
    <n v="8040"/>
    <n v="107"/>
    <s v=""/>
    <n v="760"/>
    <n v="3800"/>
    <x v="0"/>
    <x v="1"/>
    <x v="3"/>
    <s v="EUR"/>
    <n v="4464.7700000000004"/>
  </r>
  <r>
    <s v="1030AT"/>
    <n v="84031"/>
    <d v="2018-10-08T00:00:00"/>
    <n v="8040"/>
    <n v="110"/>
    <n v="2"/>
    <n v="500"/>
    <n v="30000"/>
    <x v="0"/>
    <x v="1"/>
    <x v="4"/>
    <s v="EUR"/>
    <n v="35248.17"/>
  </r>
  <r>
    <s v="1030AT"/>
    <n v="88112"/>
    <d v="2018-10-11T00:00:00"/>
    <n v="8040"/>
    <n v="110"/>
    <m/>
    <n v="480"/>
    <n v="28800"/>
    <x v="0"/>
    <x v="1"/>
    <x v="4"/>
    <s v="EUR"/>
    <n v="33838.239999999998"/>
  </r>
  <r>
    <s v="1030AT"/>
    <n v="88112"/>
    <d v="2018-10-11T00:00:00"/>
    <n v="8040"/>
    <n v="119"/>
    <s v=""/>
    <n v="630"/>
    <n v="39060"/>
    <x v="0"/>
    <x v="1"/>
    <x v="5"/>
    <s v="EUR"/>
    <n v="45893.120000000003"/>
  </r>
  <r>
    <s v="1030AT"/>
    <n v="88112"/>
    <d v="2018-10-11T00:00:00"/>
    <n v="8040"/>
    <n v="120"/>
    <m/>
    <n v="150"/>
    <n v="8700"/>
    <x v="0"/>
    <x v="1"/>
    <x v="0"/>
    <s v="EUR"/>
    <n v="10221.969999999999"/>
  </r>
  <r>
    <s v="1030AT"/>
    <n v="88112"/>
    <d v="2018-10-11T00:00:00"/>
    <n v="8040"/>
    <n v="116"/>
    <n v="4"/>
    <n v="760"/>
    <n v="4560"/>
    <x v="0"/>
    <x v="1"/>
    <x v="6"/>
    <s v="EUR"/>
    <n v="5357.72"/>
  </r>
  <r>
    <s v="1030AT"/>
    <n v="88112"/>
    <d v="2018-10-11T00:00:00"/>
    <n v="8040"/>
    <n v="111"/>
    <m/>
    <n v="590"/>
    <n v="11800"/>
    <x v="0"/>
    <x v="1"/>
    <x v="7"/>
    <s v="EUR"/>
    <n v="13864.28"/>
  </r>
  <r>
    <s v="1030AT"/>
    <n v="88112"/>
    <d v="2018-10-11T00:00:00"/>
    <n v="8040"/>
    <n v="110"/>
    <m/>
    <n v="530"/>
    <n v="31800"/>
    <x v="0"/>
    <x v="1"/>
    <x v="4"/>
    <s v="EUR"/>
    <n v="37363.06"/>
  </r>
  <r>
    <s v="1030AT"/>
    <n v="88112"/>
    <d v="2018-10-11T00:00:00"/>
    <n v="8040"/>
    <n v="109"/>
    <m/>
    <n v="260"/>
    <n v="7280"/>
    <x v="0"/>
    <x v="1"/>
    <x v="8"/>
    <s v="EUR"/>
    <n v="8553.56"/>
  </r>
  <r>
    <s v="1030AT"/>
    <n v="85442"/>
    <d v="2018-10-15T00:00:00"/>
    <n v="8050"/>
    <n v="107"/>
    <m/>
    <n v="270"/>
    <n v="1350"/>
    <x v="0"/>
    <x v="0"/>
    <x v="3"/>
    <s v="EUR"/>
    <n v="1586.17"/>
  </r>
  <r>
    <s v="1030AT"/>
    <n v="85442"/>
    <d v="2018-10-15T00:00:00"/>
    <n v="8050"/>
    <n v="103"/>
    <m/>
    <n v="630"/>
    <n v="7560"/>
    <x v="0"/>
    <x v="0"/>
    <x v="9"/>
    <s v="EUR"/>
    <n v="8882.5400000000009"/>
  </r>
  <r>
    <s v="1030AT"/>
    <n v="85442"/>
    <d v="2018-10-15T00:00:00"/>
    <n v="8050"/>
    <n v="104"/>
    <m/>
    <n v="440"/>
    <n v="5280"/>
    <x v="0"/>
    <x v="0"/>
    <x v="1"/>
    <s v="EUR"/>
    <n v="6203.68"/>
  </r>
  <r>
    <s v="1030AT"/>
    <n v="85442"/>
    <d v="2018-10-15T00:00:00"/>
    <n v="8050"/>
    <n v="120"/>
    <m/>
    <n v="500"/>
    <n v="29000"/>
    <x v="0"/>
    <x v="0"/>
    <x v="0"/>
    <s v="EUR"/>
    <n v="34073.230000000003"/>
  </r>
  <r>
    <s v="1030AT"/>
    <n v="85442"/>
    <d v="2018-10-15T00:00:00"/>
    <n v="8050"/>
    <n v="119"/>
    <n v="1"/>
    <n v="360"/>
    <n v="22320"/>
    <x v="0"/>
    <x v="0"/>
    <x v="5"/>
    <s v="EUR"/>
    <n v="26224.639999999999"/>
  </r>
  <r>
    <s v="1030AT"/>
    <n v="85442"/>
    <d v="2018-10-15T00:00:00"/>
    <n v="8050"/>
    <n v="115"/>
    <m/>
    <n v="810"/>
    <n v="4860"/>
    <x v="0"/>
    <x v="0"/>
    <x v="10"/>
    <s v="EUR"/>
    <n v="5710.2"/>
  </r>
  <r>
    <s v="1030AT"/>
    <n v="85442"/>
    <d v="2018-10-15T00:00:00"/>
    <n v="8050"/>
    <n v="108"/>
    <m/>
    <n v="800"/>
    <n v="22400"/>
    <x v="0"/>
    <x v="0"/>
    <x v="11"/>
    <s v="EUR"/>
    <n v="26318.63"/>
  </r>
  <r>
    <s v="1030AT"/>
    <n v="88588"/>
    <d v="2018-10-15T00:00:00"/>
    <n v="8040"/>
    <n v="120"/>
    <m/>
    <n v="470"/>
    <n v="27260"/>
    <x v="0"/>
    <x v="1"/>
    <x v="0"/>
    <s v="EUR"/>
    <n v="32028.84"/>
  </r>
  <r>
    <s v="1030AT"/>
    <n v="88588"/>
    <d v="2018-10-15T00:00:00"/>
    <n v="8040"/>
    <n v="119"/>
    <m/>
    <n v="860"/>
    <n v="53320"/>
    <x v="0"/>
    <x v="1"/>
    <x v="5"/>
    <s v="EUR"/>
    <n v="62647.75"/>
  </r>
  <r>
    <s v="1030AT"/>
    <n v="88588"/>
    <d v="2018-10-15T00:00:00"/>
    <n v="8040"/>
    <n v="110"/>
    <m/>
    <n v="180"/>
    <n v="10800"/>
    <x v="0"/>
    <x v="1"/>
    <x v="4"/>
    <s v="EUR"/>
    <n v="12689.34"/>
  </r>
  <r>
    <s v="1030AT"/>
    <n v="88588"/>
    <d v="2018-10-15T00:00:00"/>
    <n v="8040"/>
    <n v="111"/>
    <m/>
    <n v="750"/>
    <n v="15000"/>
    <x v="0"/>
    <x v="1"/>
    <x v="7"/>
    <s v="EUR"/>
    <n v="17624.09"/>
  </r>
  <r>
    <s v="1030AT"/>
    <n v="88588"/>
    <d v="2018-10-15T00:00:00"/>
    <n v="8040"/>
    <n v="109"/>
    <m/>
    <n v="560"/>
    <n v="15680"/>
    <x v="0"/>
    <x v="1"/>
    <x v="8"/>
    <s v="EUR"/>
    <n v="18423.04"/>
  </r>
  <r>
    <s v="1030AT"/>
    <n v="88588"/>
    <d v="2018-10-15T00:00:00"/>
    <n v="8040"/>
    <n v="105"/>
    <m/>
    <n v="130"/>
    <n v="1300"/>
    <x v="0"/>
    <x v="1"/>
    <x v="2"/>
    <s v="EUR"/>
    <n v="1527.42"/>
  </r>
  <r>
    <s v="1030AT"/>
    <n v="88588"/>
    <d v="2018-10-15T00:00:00"/>
    <n v="8040"/>
    <n v="103"/>
    <m/>
    <n v="110"/>
    <n v="1320"/>
    <x v="0"/>
    <x v="1"/>
    <x v="9"/>
    <s v="EUR"/>
    <n v="1550.92"/>
  </r>
  <r>
    <s v="1030AT"/>
    <n v="88544"/>
    <d v="2018-10-22T00:00:00"/>
    <n v="8040"/>
    <n v="107"/>
    <m/>
    <n v="770"/>
    <n v="3850"/>
    <x v="0"/>
    <x v="1"/>
    <x v="3"/>
    <s v="EUR"/>
    <n v="4523.5200000000004"/>
  </r>
  <r>
    <s v="1030AT"/>
    <n v="88544"/>
    <d v="2018-10-22T00:00:00"/>
    <n v="8040"/>
    <n v="120"/>
    <m/>
    <n v="300"/>
    <n v="17400"/>
    <x v="0"/>
    <x v="1"/>
    <x v="0"/>
    <s v="EUR"/>
    <n v="20443.939999999999"/>
  </r>
  <r>
    <s v="1030AT"/>
    <n v="88666"/>
    <d v="2018-10-26T00:00:00"/>
    <n v="8030"/>
    <n v="119"/>
    <m/>
    <n v="330"/>
    <n v="20460"/>
    <x v="0"/>
    <x v="2"/>
    <x v="5"/>
    <s v="EUR"/>
    <n v="24039.25"/>
  </r>
  <r>
    <s v="1030AT"/>
    <n v="88666"/>
    <d v="2018-10-26T00:00:00"/>
    <n v="8030"/>
    <n v="107"/>
    <m/>
    <n v="460"/>
    <n v="2300"/>
    <x v="0"/>
    <x v="2"/>
    <x v="3"/>
    <s v="EUR"/>
    <n v="2702.36"/>
  </r>
  <r>
    <s v="1030AT"/>
    <n v="88666"/>
    <d v="2018-10-26T00:00:00"/>
    <n v="8030"/>
    <n v="105"/>
    <n v="1"/>
    <n v="470"/>
    <n v="4700"/>
    <x v="0"/>
    <x v="2"/>
    <x v="2"/>
    <s v="EUR"/>
    <n v="5522.21"/>
  </r>
  <r>
    <s v="1030AT"/>
    <n v="88666"/>
    <d v="2018-10-26T00:00:00"/>
    <n v="8030"/>
    <n v="115"/>
    <m/>
    <n v="390"/>
    <n v="2340"/>
    <x v="0"/>
    <x v="2"/>
    <x v="10"/>
    <s v="EUR"/>
    <n v="2749.36"/>
  </r>
  <r>
    <s v="1030AT"/>
    <n v="88666"/>
    <d v="2018-10-26T00:00:00"/>
    <n v="8030"/>
    <n v="116"/>
    <m/>
    <n v="260"/>
    <n v="1560"/>
    <x v="0"/>
    <x v="2"/>
    <x v="6"/>
    <s v="EUR"/>
    <n v="1832.9"/>
  </r>
  <r>
    <s v="1040DE"/>
    <n v="44030"/>
    <d v="2018-10-04T00:00:00"/>
    <n v="8060"/>
    <n v="108"/>
    <s v=""/>
    <n v="60"/>
    <n v="1680"/>
    <x v="1"/>
    <x v="3"/>
    <x v="11"/>
    <s v="EUR"/>
    <n v="1973.9"/>
  </r>
  <r>
    <s v="1040DE"/>
    <n v="44030"/>
    <d v="2018-10-04T00:00:00"/>
    <n v="8060"/>
    <n v="109"/>
    <n v="1"/>
    <n v="60"/>
    <n v="1680"/>
    <x v="1"/>
    <x v="3"/>
    <x v="8"/>
    <s v="EUR"/>
    <n v="1973.9"/>
  </r>
  <r>
    <s v="1040DE"/>
    <n v="44032"/>
    <d v="2018-10-07T00:00:00"/>
    <n v="8060"/>
    <n v="108"/>
    <s v=""/>
    <n v="60"/>
    <n v="1680"/>
    <x v="1"/>
    <x v="3"/>
    <x v="11"/>
    <s v="EUR"/>
    <n v="1973.9"/>
  </r>
  <r>
    <s v="1040DE"/>
    <n v="44032"/>
    <d v="2018-10-07T00:00:00"/>
    <n v="8060"/>
    <n v="109"/>
    <m/>
    <n v="70"/>
    <n v="1960"/>
    <x v="1"/>
    <x v="3"/>
    <x v="8"/>
    <s v="EUR"/>
    <n v="2302.88"/>
  </r>
  <r>
    <s v="1040DE"/>
    <n v="44031"/>
    <d v="2018-10-08T00:00:00"/>
    <n v="8050"/>
    <n v="108"/>
    <s v=""/>
    <n v="60"/>
    <n v="1680"/>
    <x v="1"/>
    <x v="0"/>
    <x v="11"/>
    <s v="EUR"/>
    <n v="1973.9"/>
  </r>
  <r>
    <s v="1040DE"/>
    <n v="44031"/>
    <d v="2018-10-08T00:00:00"/>
    <n v="8050"/>
    <n v="109"/>
    <s v=""/>
    <n v="50"/>
    <n v="1400"/>
    <x v="1"/>
    <x v="0"/>
    <x v="8"/>
    <s v="EUR"/>
    <n v="1644.91"/>
  </r>
  <r>
    <s v="1040DE"/>
    <n v="44031"/>
    <d v="2018-10-08T00:00:00"/>
    <n v="8050"/>
    <n v="110"/>
    <s v=""/>
    <n v="60"/>
    <n v="3600"/>
    <x v="1"/>
    <x v="0"/>
    <x v="4"/>
    <s v="EUR"/>
    <n v="4229.78"/>
  </r>
  <r>
    <s v="1040DE"/>
    <n v="48112"/>
    <d v="2018-10-11T00:00:00"/>
    <n v="8060"/>
    <n v="109"/>
    <m/>
    <n v="60"/>
    <n v="1680"/>
    <x v="1"/>
    <x v="3"/>
    <x v="8"/>
    <s v="EUR"/>
    <n v="1973.9"/>
  </r>
  <r>
    <s v="1040DE"/>
    <n v="48112"/>
    <d v="2018-10-11T00:00:00"/>
    <n v="8060"/>
    <n v="110"/>
    <s v=""/>
    <n v="50"/>
    <n v="3000"/>
    <x v="1"/>
    <x v="3"/>
    <x v="4"/>
    <s v="EUR"/>
    <n v="3524.82"/>
  </r>
  <r>
    <s v="1040DE"/>
    <n v="48114"/>
    <d v="2018-10-11T00:00:00"/>
    <n v="8050"/>
    <n v="109"/>
    <m/>
    <n v="60"/>
    <n v="1680"/>
    <x v="1"/>
    <x v="0"/>
    <x v="8"/>
    <s v="EUR"/>
    <n v="1973.9"/>
  </r>
  <r>
    <s v="1040DE"/>
    <n v="48114"/>
    <d v="2018-10-11T00:00:00"/>
    <n v="8050"/>
    <n v="110"/>
    <m/>
    <n v="60"/>
    <n v="3600"/>
    <x v="1"/>
    <x v="0"/>
    <x v="4"/>
    <s v="EUR"/>
    <n v="4229.78"/>
  </r>
  <r>
    <s v="1040DE"/>
    <n v="48114"/>
    <d v="2018-10-11T00:00:00"/>
    <n v="8050"/>
    <n v="111"/>
    <m/>
    <n v="80"/>
    <n v="1600"/>
    <x v="1"/>
    <x v="0"/>
    <x v="7"/>
    <s v="EUR"/>
    <n v="1879.9"/>
  </r>
  <r>
    <s v="1040DE"/>
    <n v="48116"/>
    <d v="2018-10-11T00:00:00"/>
    <n v="8060"/>
    <n v="109"/>
    <m/>
    <n v="60"/>
    <n v="1680"/>
    <x v="1"/>
    <x v="3"/>
    <x v="8"/>
    <s v="EUR"/>
    <n v="1973.9"/>
  </r>
  <r>
    <s v="1040DE"/>
    <n v="48116"/>
    <d v="2018-10-11T00:00:00"/>
    <n v="8060"/>
    <n v="110"/>
    <m/>
    <n v="60"/>
    <n v="3600"/>
    <x v="1"/>
    <x v="3"/>
    <x v="4"/>
    <s v="EUR"/>
    <n v="4229.78"/>
  </r>
  <r>
    <s v="1040DE"/>
    <n v="45442"/>
    <d v="2018-10-15T00:00:00"/>
    <n v="8050"/>
    <n v="108"/>
    <m/>
    <n v="50"/>
    <n v="1400"/>
    <x v="1"/>
    <x v="0"/>
    <x v="11"/>
    <s v="EUR"/>
    <n v="1644.91"/>
  </r>
  <r>
    <s v="1040DE"/>
    <n v="45442"/>
    <d v="2018-10-15T00:00:00"/>
    <n v="8050"/>
    <n v="109"/>
    <n v="1"/>
    <n v="60"/>
    <n v="1680"/>
    <x v="1"/>
    <x v="0"/>
    <x v="8"/>
    <s v="EUR"/>
    <n v="1973.9"/>
  </r>
  <r>
    <s v="1040DE"/>
    <n v="45444"/>
    <d v="2018-10-15T00:00:00"/>
    <n v="8060"/>
    <n v="108"/>
    <m/>
    <n v="60"/>
    <n v="1680"/>
    <x v="1"/>
    <x v="3"/>
    <x v="11"/>
    <s v="EUR"/>
    <n v="1973.9"/>
  </r>
  <r>
    <s v="1040DE"/>
    <n v="45444"/>
    <d v="2018-10-15T00:00:00"/>
    <n v="8060"/>
    <n v="109"/>
    <m/>
    <n v="70"/>
    <n v="1960"/>
    <x v="1"/>
    <x v="3"/>
    <x v="8"/>
    <s v="EUR"/>
    <n v="2302.88"/>
  </r>
  <r>
    <s v="1040DE"/>
    <n v="45444"/>
    <d v="2018-10-15T00:00:00"/>
    <n v="8060"/>
    <n v="110"/>
    <m/>
    <n v="60"/>
    <n v="3600"/>
    <x v="1"/>
    <x v="3"/>
    <x v="4"/>
    <s v="EUR"/>
    <n v="4229.78"/>
  </r>
  <r>
    <s v="1040DE"/>
    <n v="45446"/>
    <d v="2018-10-15T00:00:00"/>
    <n v="8050"/>
    <n v="111"/>
    <m/>
    <n v="80"/>
    <n v="1600"/>
    <x v="1"/>
    <x v="0"/>
    <x v="7"/>
    <s v="EUR"/>
    <n v="1879.9"/>
  </r>
  <r>
    <s v="1040DE"/>
    <n v="45446"/>
    <d v="2018-10-15T00:00:00"/>
    <n v="8050"/>
    <n v="108"/>
    <m/>
    <n v="50"/>
    <n v="1400"/>
    <x v="1"/>
    <x v="0"/>
    <x v="11"/>
    <s v="EUR"/>
    <n v="1644.91"/>
  </r>
  <r>
    <s v="1040DE"/>
    <n v="44015"/>
    <d v="2018-10-10T00:00:00"/>
    <n v="8060"/>
    <n v="108"/>
    <m/>
    <n v="60"/>
    <n v="1680"/>
    <x v="1"/>
    <x v="3"/>
    <x v="11"/>
    <s v="EUR"/>
    <n v="1973.9"/>
  </r>
  <r>
    <s v="1040DE"/>
    <n v="44015"/>
    <d v="2018-10-10T00:00:00"/>
    <n v="8060"/>
    <n v="109"/>
    <m/>
    <n v="70"/>
    <n v="1960"/>
    <x v="1"/>
    <x v="3"/>
    <x v="8"/>
    <s v="EUR"/>
    <n v="2302.88"/>
  </r>
  <r>
    <s v="1040DE"/>
    <n v="44017"/>
    <d v="2018-10-13T00:00:00"/>
    <n v="8060"/>
    <n v="108"/>
    <m/>
    <n v="70"/>
    <n v="1960"/>
    <x v="1"/>
    <x v="3"/>
    <x v="11"/>
    <s v="EUR"/>
    <n v="2302.88"/>
  </r>
  <r>
    <s v="1040DE"/>
    <n v="44017"/>
    <d v="2018-10-13T00:00:00"/>
    <n v="8060"/>
    <n v="109"/>
    <m/>
    <n v="70"/>
    <n v="1960"/>
    <x v="1"/>
    <x v="3"/>
    <x v="8"/>
    <s v="EUR"/>
    <n v="2302.88"/>
  </r>
  <r>
    <s v="1040DE"/>
    <n v="44016"/>
    <d v="2018-10-14T00:00:00"/>
    <n v="8050"/>
    <n v="108"/>
    <m/>
    <n v="70"/>
    <n v="1960"/>
    <x v="1"/>
    <x v="0"/>
    <x v="11"/>
    <s v="EUR"/>
    <n v="2302.88"/>
  </r>
  <r>
    <s v="1040DE"/>
    <n v="44016"/>
    <d v="2018-10-14T00:00:00"/>
    <n v="8050"/>
    <n v="109"/>
    <n v="1"/>
    <n v="60"/>
    <n v="1680"/>
    <x v="1"/>
    <x v="0"/>
    <x v="8"/>
    <s v="EUR"/>
    <n v="1973.9"/>
  </r>
  <r>
    <s v="1040DE"/>
    <n v="44016"/>
    <d v="2018-10-14T00:00:00"/>
    <n v="8050"/>
    <n v="110"/>
    <m/>
    <n v="50"/>
    <n v="3000"/>
    <x v="1"/>
    <x v="0"/>
    <x v="4"/>
    <s v="EUR"/>
    <n v="3524.82"/>
  </r>
  <r>
    <s v="1040DE"/>
    <n v="48097"/>
    <d v="2018-10-17T00:00:00"/>
    <n v="8060"/>
    <n v="109"/>
    <m/>
    <n v="60"/>
    <n v="1680"/>
    <x v="1"/>
    <x v="3"/>
    <x v="8"/>
    <s v="EUR"/>
    <n v="1973.9"/>
  </r>
  <r>
    <s v="1040DE"/>
    <n v="48097"/>
    <d v="2018-10-17T00:00:00"/>
    <n v="8060"/>
    <n v="110"/>
    <m/>
    <n v="70"/>
    <n v="4200"/>
    <x v="1"/>
    <x v="3"/>
    <x v="4"/>
    <s v="EUR"/>
    <n v="4934.74"/>
  </r>
  <r>
    <s v="1040DE"/>
    <n v="48099"/>
    <d v="2018-10-17T00:00:00"/>
    <n v="8050"/>
    <n v="109"/>
    <n v="1"/>
    <n v="60"/>
    <n v="1680"/>
    <x v="1"/>
    <x v="0"/>
    <x v="8"/>
    <s v="EUR"/>
    <n v="1973.9"/>
  </r>
  <r>
    <s v="1040DE"/>
    <n v="48099"/>
    <d v="2018-10-17T00:00:00"/>
    <n v="8050"/>
    <n v="110"/>
    <m/>
    <n v="60"/>
    <n v="3600"/>
    <x v="1"/>
    <x v="0"/>
    <x v="4"/>
    <s v="EUR"/>
    <n v="4229.78"/>
  </r>
  <r>
    <s v="1040DE"/>
    <n v="48099"/>
    <d v="2018-10-17T00:00:00"/>
    <n v="8050"/>
    <n v="111"/>
    <m/>
    <n v="60"/>
    <n v="1200"/>
    <x v="1"/>
    <x v="0"/>
    <x v="7"/>
    <s v="EUR"/>
    <n v="1409.93"/>
  </r>
  <r>
    <s v="1040DE"/>
    <n v="48101"/>
    <d v="2018-10-17T00:00:00"/>
    <n v="8060"/>
    <n v="109"/>
    <m/>
    <n v="60"/>
    <n v="1680"/>
    <x v="1"/>
    <x v="3"/>
    <x v="8"/>
    <s v="EUR"/>
    <n v="1973.9"/>
  </r>
  <r>
    <s v="1040DE"/>
    <n v="48101"/>
    <d v="2018-10-17T00:00:00"/>
    <n v="8060"/>
    <n v="110"/>
    <m/>
    <n v="50"/>
    <n v="3000"/>
    <x v="1"/>
    <x v="3"/>
    <x v="4"/>
    <s v="EUR"/>
    <n v="3524.82"/>
  </r>
  <r>
    <s v="1040DE"/>
    <n v="45427"/>
    <d v="2018-10-21T00:00:00"/>
    <n v="8050"/>
    <n v="108"/>
    <m/>
    <n v="70"/>
    <n v="1960"/>
    <x v="1"/>
    <x v="0"/>
    <x v="11"/>
    <s v="EUR"/>
    <n v="2302.88"/>
  </r>
  <r>
    <s v="1040DE"/>
    <n v="45427"/>
    <d v="2018-10-21T00:00:00"/>
    <n v="8050"/>
    <n v="109"/>
    <m/>
    <n v="60"/>
    <n v="1680"/>
    <x v="1"/>
    <x v="0"/>
    <x v="8"/>
    <s v="EUR"/>
    <n v="1973.9"/>
  </r>
  <r>
    <s v="1040DE"/>
    <n v="45429"/>
    <d v="2018-10-21T00:00:00"/>
    <n v="8060"/>
    <n v="108"/>
    <m/>
    <n v="80"/>
    <n v="2240"/>
    <x v="1"/>
    <x v="3"/>
    <x v="11"/>
    <s v="EUR"/>
    <n v="2631.86"/>
  </r>
  <r>
    <s v="1040DE"/>
    <n v="45429"/>
    <d v="2018-10-21T00:00:00"/>
    <n v="8060"/>
    <n v="109"/>
    <n v="2"/>
    <n v="80"/>
    <n v="2240"/>
    <x v="1"/>
    <x v="3"/>
    <x v="8"/>
    <s v="EUR"/>
    <n v="2631.86"/>
  </r>
  <r>
    <s v="1040DE"/>
    <n v="45429"/>
    <d v="2018-10-21T00:00:00"/>
    <n v="8060"/>
    <n v="110"/>
    <m/>
    <n v="50"/>
    <n v="3000"/>
    <x v="1"/>
    <x v="3"/>
    <x v="4"/>
    <s v="EUR"/>
    <n v="3524.82"/>
  </r>
  <r>
    <s v="1040DE"/>
    <n v="45431"/>
    <d v="2018-10-21T00:00:00"/>
    <n v="8050"/>
    <n v="111"/>
    <m/>
    <n v="60"/>
    <n v="1200"/>
    <x v="1"/>
    <x v="0"/>
    <x v="7"/>
    <s v="EUR"/>
    <n v="1409.93"/>
  </r>
  <r>
    <s v="1040DE"/>
    <n v="45431"/>
    <d v="2018-10-21T00:00:00"/>
    <n v="8050"/>
    <n v="108"/>
    <m/>
    <n v="60"/>
    <n v="1680"/>
    <x v="1"/>
    <x v="0"/>
    <x v="11"/>
    <s v="EUR"/>
    <n v="1973.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TReject" cacheId="6" applyNumberFormats="0" applyBorderFormats="0" applyFontFormats="0" applyPatternFormats="0" applyAlignmentFormats="0" applyWidthHeightFormats="1" dataCaption="Values" grandTotalCaption="Total" updatedVersion="5" minRefreshableVersion="3" itemPrintTitles="1" createdVersion="6" indent="0" compact="0" compactData="0" multipleFieldFilters="0">
  <location ref="AC5:AE13" firstHeaderRow="0" firstDataRow="1" firstDataCol="1"/>
  <pivotFields count="14">
    <pivotField compact="0" outline="0" showAll="0" defaultSubtotal="0"/>
    <pivotField compact="0" outline="0" subtotalTop="0" showAll="0"/>
    <pivotField compact="0" numFmtId="14" outline="0" subtotalTop="0" showAll="0"/>
    <pivotField compact="0" outline="0" subtotalTop="0" showAll="0"/>
    <pivotField compact="0" outline="0" subtotalTop="0" showAll="0"/>
    <pivotField dataField="1" compact="0" outline="0" subtotalTop="0" showAll="0"/>
    <pivotField compact="0" outline="0" subtotalTop="0" showAll="0"/>
    <pivotField compact="0" outline="0" showAll="0" defaultSubtotal="0"/>
    <pivotField compact="0" outline="0" subtotalTop="0" showAll="0">
      <items count="6">
        <item m="1" x="2"/>
        <item x="0"/>
        <item x="1"/>
        <item m="1" x="4"/>
        <item m="1" x="3"/>
        <item t="default"/>
      </items>
    </pivotField>
    <pivotField compact="0" outline="0" subtotalTop="0" showAll="0"/>
    <pivotField name="Article" axis="axisRow" compact="0" outline="0" subtotalTop="0" showAll="0" measureFilter="1" sortType="descending">
      <items count="21">
        <item x="3"/>
        <item x="0"/>
        <item x="1"/>
        <item x="2"/>
        <item x="9"/>
        <item x="4"/>
        <item x="5"/>
        <item x="6"/>
        <item x="7"/>
        <item x="8"/>
        <item x="10"/>
        <item x="11"/>
        <item m="1" x="12"/>
        <item m="1" x="17"/>
        <item m="1" x="16"/>
        <item m="1" x="18"/>
        <item m="1" x="14"/>
        <item m="1" x="19"/>
        <item m="1" x="13"/>
        <item m="1" x="15"/>
        <item t="default"/>
      </items>
      <autoSortScope>
        <pivotArea dataOnly="0" outline="0" fieldPosition="0">
          <references count="1">
            <reference field="4294967294" count="1" selected="0">
              <x v="0"/>
            </reference>
          </references>
        </pivotArea>
      </autoSortScope>
    </pivotField>
    <pivotField compact="0" outline="0" subtotalTop="0" showAll="0"/>
    <pivotField compact="0" numFmtId="2" outline="0" subtotalTop="0" showAll="0"/>
    <pivotField dataField="1" compact="0" outline="0" dragToRow="0" dragToCol="0" dragToPage="0" showAll="0"/>
  </pivotFields>
  <rowFields count="1">
    <field x="10"/>
  </rowFields>
  <rowItems count="8">
    <i>
      <x v="9"/>
    </i>
    <i>
      <x v="7"/>
    </i>
    <i>
      <x v="5"/>
    </i>
    <i>
      <x v="3"/>
    </i>
    <i>
      <x v="2"/>
    </i>
    <i>
      <x/>
    </i>
    <i>
      <x v="6"/>
    </i>
    <i t="grand">
      <x/>
    </i>
  </rowItems>
  <colFields count="1">
    <field x="-2"/>
  </colFields>
  <colItems count="2">
    <i>
      <x/>
    </i>
    <i i="1">
      <x v="1"/>
    </i>
  </colItems>
  <dataFields count="2">
    <dataField name="Reject " fld="5" baseField="10" baseItem="0"/>
    <dataField name="Reject % " fld="13" baseField="0" baseItem="0" numFmtId="164"/>
  </dataFields>
  <formats count="5">
    <format dxfId="15">
      <pivotArea dataOnly="0" labelOnly="1" outline="0" fieldPosition="0">
        <references count="1">
          <reference field="4294967294" count="1">
            <x v="0"/>
          </reference>
        </references>
      </pivotArea>
    </format>
    <format dxfId="14">
      <pivotArea outline="0" fieldPosition="0">
        <references count="1">
          <reference field="4294967294" count="1">
            <x v="1"/>
          </reference>
        </references>
      </pivotArea>
    </format>
    <format dxfId="13">
      <pivotArea outline="0" fieldPosition="0">
        <references count="1">
          <reference field="4294967294" count="1">
            <x v="1"/>
          </reference>
        </references>
      </pivotArea>
    </format>
    <format dxfId="12">
      <pivotArea dataOnly="0" labelOnly="1" outline="0" fieldPosition="0">
        <references count="1">
          <reference field="4294967294" count="2">
            <x v="0"/>
            <x v="1"/>
          </reference>
        </references>
      </pivotArea>
    </format>
    <format dxfId="11">
      <pivotArea dataOnly="0" labelOnly="1" outline="0" fieldPosition="0">
        <references count="1">
          <reference field="4294967294" count="2">
            <x v="0"/>
            <x v="1"/>
          </reference>
        </references>
      </pivotArea>
    </format>
  </formats>
  <pivotTableStyleInfo name="MyPivotStyle" showRowHeaders="1" showColHeaders="1" showRowStripes="0" showColStripes="0" showLastColumn="1"/>
  <filters count="1">
    <filter fld="10"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TRegion" cacheId="6" applyNumberFormats="0" applyBorderFormats="0" applyFontFormats="0" applyPatternFormats="0" applyAlignmentFormats="0" applyWidthHeightFormats="1" dataCaption="Values" grandTotalCaption="Total" updatedVersion="5" minRefreshableVersion="3" itemPrintTitles="1" createdVersion="6" indent="0" compact="0" compactData="0" multipleFieldFilters="0" chartFormat="5">
  <location ref="S2:U7" firstHeaderRow="0" firstDataRow="1" firstDataCol="1"/>
  <pivotFields count="14">
    <pivotField compact="0" outline="0" showAll="0" defaultSubtotal="0"/>
    <pivotField compact="0" outline="0" subtotalTop="0" showAll="0"/>
    <pivotField compact="0" numFmtId="14" outline="0" subtotalTop="0" showAll="0"/>
    <pivotField compact="0" outline="0" subtotalTop="0" showAll="0"/>
    <pivotField compact="0" outline="0" subtotalTop="0" showAll="0"/>
    <pivotField compact="0" outline="0" subtotalTop="0" showAll="0"/>
    <pivotField compact="0" outline="0" subtotalTop="0" showAll="0"/>
    <pivotField compact="0" outline="0" showAll="0" defaultSubtotal="0"/>
    <pivotField compact="0" outline="0" subtotalTop="0" showAll="0"/>
    <pivotField name="Customer" axis="axisRow" compact="0" outline="0" subtotalTop="0" showAll="0">
      <items count="8">
        <item x="0"/>
        <item x="1"/>
        <item m="1" x="6"/>
        <item m="1" x="5"/>
        <item x="2"/>
        <item x="3"/>
        <item m="1" x="4"/>
        <item t="default"/>
      </items>
    </pivotField>
    <pivotField compact="0" outline="0" subtotalTop="0" showAll="0"/>
    <pivotField compact="0" outline="0" subtotalTop="0" showAll="0"/>
    <pivotField dataField="1" compact="0" numFmtId="2" outline="0" subtotalTop="0" showAll="0"/>
    <pivotField compact="0" outline="0" dragToRow="0" dragToCol="0" dragToPage="0" showAll="0"/>
  </pivotFields>
  <rowFields count="1">
    <field x="9"/>
  </rowFields>
  <rowItems count="5">
    <i>
      <x/>
    </i>
    <i>
      <x v="1"/>
    </i>
    <i>
      <x v="4"/>
    </i>
    <i>
      <x v="5"/>
    </i>
    <i t="grand">
      <x/>
    </i>
  </rowItems>
  <colFields count="1">
    <field x="-2"/>
  </colFields>
  <colItems count="2">
    <i>
      <x/>
    </i>
    <i i="1">
      <x v="1"/>
    </i>
  </colItems>
  <dataFields count="2">
    <dataField name=" Sales US" fld="12" baseField="9" baseItem="0" numFmtId="44"/>
    <dataField name=" " fld="12" showDataAs="percentOfTotal" baseField="9" baseItem="0" numFmtId="10"/>
  </dataFields>
  <formats count="4">
    <format dxfId="19">
      <pivotArea dataOnly="0" labelOnly="1" outline="0" axis="axisValues" fieldPosition="0"/>
    </format>
    <format dxfId="18">
      <pivotArea dataOnly="0" labelOnly="1" outline="0" axis="axisValues" fieldPosition="0"/>
    </format>
    <format dxfId="17">
      <pivotArea outline="0" collapsedLevelsAreSubtotals="1" fieldPosition="0">
        <references count="1">
          <reference field="4294967294" count="1" selected="0">
            <x v="0"/>
          </reference>
        </references>
      </pivotArea>
    </format>
    <format dxfId="16">
      <pivotArea outline="0" fieldPosition="0">
        <references count="1">
          <reference field="4294967294" count="1">
            <x v="1"/>
          </reference>
        </references>
      </pivotArea>
    </format>
  </formats>
  <chartFormats count="2">
    <chartFormat chart="3"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1"/>
          </reference>
        </references>
      </pivotArea>
    </chartFormat>
  </chartFormats>
  <pivotTableStyleInfo name="MyPivotStyle"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TManager" cacheId="6" applyNumberFormats="0" applyBorderFormats="0" applyFontFormats="0" applyPatternFormats="0" applyAlignmentFormats="0" applyWidthHeightFormats="1" dataCaption="Values" grandTotalCaption="Total" updatedVersion="5" minRefreshableVersion="3" showDrill="0" itemPrintTitles="1" createdVersion="6" indent="0" outline="1" outlineData="1" multipleFieldFilters="0">
  <location ref="AK3:AM48" firstHeaderRow="0" firstDataRow="1" firstDataCol="1"/>
  <pivotFields count="14">
    <pivotField showAll="0" defaultSubtotal="0"/>
    <pivotField subtotalTop="0" showAll="0"/>
    <pivotField numFmtId="14" subtotalTop="0" showAll="0"/>
    <pivotField subtotalTop="0" showAll="0"/>
    <pivotField subtotalTop="0" showAll="0"/>
    <pivotField subtotalTop="0" showAll="0"/>
    <pivotField dataField="1" subtotalTop="0" showAll="0"/>
    <pivotField showAll="0" defaultSubtotal="0"/>
    <pivotField axis="axisRow" subtotalTop="0" showAll="0">
      <items count="6">
        <item x="0"/>
        <item m="1" x="3"/>
        <item x="1"/>
        <item m="1" x="2"/>
        <item m="1" x="4"/>
        <item t="default"/>
      </items>
    </pivotField>
    <pivotField axis="axisRow" subtotalTop="0" showAll="0">
      <items count="8">
        <item x="0"/>
        <item x="1"/>
        <item m="1" x="6"/>
        <item m="1" x="5"/>
        <item x="2"/>
        <item x="3"/>
        <item m="1" x="4"/>
        <item t="default"/>
      </items>
    </pivotField>
    <pivotField axis="axisRow" subtotalTop="0" showAll="0" sortType="descending">
      <items count="21">
        <item x="3"/>
        <item x="2"/>
        <item x="0"/>
        <item x="1"/>
        <item x="9"/>
        <item x="4"/>
        <item x="5"/>
        <item x="6"/>
        <item x="7"/>
        <item x="8"/>
        <item x="10"/>
        <item x="11"/>
        <item m="1" x="12"/>
        <item m="1" x="17"/>
        <item m="1" x="16"/>
        <item m="1" x="18"/>
        <item m="1" x="14"/>
        <item m="1" x="19"/>
        <item m="1" x="13"/>
        <item m="1" x="15"/>
        <item t="default"/>
      </items>
      <autoSortScope>
        <pivotArea dataOnly="0" outline="0" fieldPosition="0">
          <references count="1">
            <reference field="4294967294" count="1" selected="0">
              <x v="0"/>
            </reference>
          </references>
        </pivotArea>
      </autoSortScope>
    </pivotField>
    <pivotField subtotalTop="0" showAll="0"/>
    <pivotField dataField="1" numFmtId="2" subtotalTop="0" showAll="0"/>
    <pivotField dragToRow="0" dragToCol="0" dragToPage="0" showAll="0"/>
  </pivotFields>
  <rowFields count="3">
    <field x="8"/>
    <field x="9"/>
    <field x="10"/>
  </rowFields>
  <rowItems count="45">
    <i>
      <x/>
    </i>
    <i r="1">
      <x/>
    </i>
    <i r="2">
      <x v="2"/>
    </i>
    <i r="2">
      <x v="11"/>
    </i>
    <i r="2">
      <x v="6"/>
    </i>
    <i r="2">
      <x v="3"/>
    </i>
    <i r="2">
      <x v="4"/>
    </i>
    <i r="2">
      <x v="10"/>
    </i>
    <i r="2">
      <x/>
    </i>
    <i r="2">
      <x v="1"/>
    </i>
    <i t="default" r="1">
      <x/>
    </i>
    <i r="1">
      <x v="1"/>
    </i>
    <i r="2">
      <x v="5"/>
    </i>
    <i r="2">
      <x v="6"/>
    </i>
    <i r="2">
      <x v="2"/>
    </i>
    <i r="2">
      <x v="8"/>
    </i>
    <i r="2">
      <x v="9"/>
    </i>
    <i r="2">
      <x v="3"/>
    </i>
    <i r="2">
      <x/>
    </i>
    <i r="2">
      <x v="7"/>
    </i>
    <i r="2">
      <x v="4"/>
    </i>
    <i r="2">
      <x v="1"/>
    </i>
    <i t="default" r="1">
      <x v="1"/>
    </i>
    <i r="1">
      <x v="4"/>
    </i>
    <i r="2">
      <x v="6"/>
    </i>
    <i r="2">
      <x v="1"/>
    </i>
    <i r="2">
      <x v="10"/>
    </i>
    <i r="2">
      <x/>
    </i>
    <i r="2">
      <x v="7"/>
    </i>
    <i t="default" r="1">
      <x v="4"/>
    </i>
    <i t="default">
      <x/>
    </i>
    <i>
      <x v="2"/>
    </i>
    <i r="1">
      <x/>
    </i>
    <i r="2">
      <x v="5"/>
    </i>
    <i r="2">
      <x v="11"/>
    </i>
    <i r="2">
      <x v="9"/>
    </i>
    <i r="2">
      <x v="8"/>
    </i>
    <i t="default" r="1">
      <x/>
    </i>
    <i r="1">
      <x v="5"/>
    </i>
    <i r="2">
      <x v="5"/>
    </i>
    <i r="2">
      <x v="9"/>
    </i>
    <i r="2">
      <x v="11"/>
    </i>
    <i t="default" r="1">
      <x v="5"/>
    </i>
    <i t="default">
      <x v="2"/>
    </i>
    <i t="grand">
      <x/>
    </i>
  </rowItems>
  <colFields count="1">
    <field x="-2"/>
  </colFields>
  <colItems count="2">
    <i>
      <x/>
    </i>
    <i i="1">
      <x v="1"/>
    </i>
  </colItems>
  <dataFields count="2">
    <dataField name="Sales in US Dollar" fld="12" baseField="0" baseItem="0" numFmtId="3"/>
    <dataField name=" Quantity" fld="6" baseField="8" baseItem="1" numFmtId="3"/>
  </dataFields>
  <formats count="3">
    <format dxfId="22">
      <pivotArea dataOnly="0" labelOnly="1" outline="0" fieldPosition="0">
        <references count="1">
          <reference field="4294967294" count="1">
            <x v="0"/>
          </reference>
        </references>
      </pivotArea>
    </format>
    <format dxfId="21">
      <pivotArea dataOnly="0" labelOnly="1" outline="0" fieldPosition="0">
        <references count="1">
          <reference field="4294967294" count="1">
            <x v="1"/>
          </reference>
        </references>
      </pivotArea>
    </format>
    <format dxfId="20">
      <pivotArea dataOnly="0" labelOnly="1" outline="0" fieldPosition="0">
        <references count="1">
          <reference field="4294967294" count="1">
            <x v="1"/>
          </reference>
        </references>
      </pivotArea>
    </format>
  </formats>
  <pivotTableStyleInfo name="MyPivotStyle"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TArticle" cacheId="6" applyNumberFormats="0" applyBorderFormats="0" applyFontFormats="0" applyPatternFormats="0" applyAlignmentFormats="0" applyWidthHeightFormats="1" dataCaption="Values" grandTotalCaption="Total" updatedVersion="5" minRefreshableVersion="3" itemPrintTitles="1" createdVersion="6" indent="0" compact="0" compactData="0" multipleFieldFilters="0">
  <location ref="X5:Z18" firstHeaderRow="0" firstDataRow="1" firstDataCol="1"/>
  <pivotFields count="14">
    <pivotField compact="0" outline="0" showAll="0" defaultSubtotal="0"/>
    <pivotField compact="0" outline="0" subtotalTop="0" showAll="0"/>
    <pivotField compact="0" numFmtId="14" outline="0" subtotalTop="0" showAll="0"/>
    <pivotField compact="0" outline="0" subtotalTop="0" showAll="0"/>
    <pivotField compact="0" outline="0" subtotalTop="0" showAll="0"/>
    <pivotField compact="0" outline="0" subtotalTop="0" showAll="0"/>
    <pivotField dataField="1" compact="0" outline="0" subtotalTop="0" showAll="0"/>
    <pivotField compact="0" outline="0" showAll="0" defaultSubtotal="0"/>
    <pivotField compact="0" outline="0" subtotalTop="0" showAll="0">
      <items count="6">
        <item m="1" x="2"/>
        <item x="0"/>
        <item x="1"/>
        <item m="1" x="4"/>
        <item m="1" x="3"/>
        <item t="default"/>
      </items>
    </pivotField>
    <pivotField compact="0" outline="0" subtotalTop="0" showAll="0"/>
    <pivotField name="Article" axis="axisRow" compact="0" outline="0" subtotalTop="0" showAll="0" sortType="descending">
      <items count="21">
        <item x="3"/>
        <item x="2"/>
        <item x="0"/>
        <item x="1"/>
        <item x="9"/>
        <item x="4"/>
        <item x="5"/>
        <item x="6"/>
        <item x="7"/>
        <item x="8"/>
        <item x="10"/>
        <item x="11"/>
        <item m="1" x="12"/>
        <item m="1" x="17"/>
        <item m="1" x="16"/>
        <item m="1" x="18"/>
        <item m="1" x="14"/>
        <item m="1" x="19"/>
        <item m="1" x="13"/>
        <item m="1" x="15"/>
        <item t="default"/>
      </items>
      <autoSortScope>
        <pivotArea dataOnly="0" outline="0" fieldPosition="0">
          <references count="1">
            <reference field="4294967294" count="1" selected="0">
              <x v="0"/>
            </reference>
          </references>
        </pivotArea>
      </autoSortScope>
    </pivotField>
    <pivotField compact="0" outline="0" subtotalTop="0" showAll="0"/>
    <pivotField dataField="1" compact="0" numFmtId="2" outline="0" subtotalTop="0" showAll="0"/>
    <pivotField compact="0" outline="0" dragToRow="0" dragToCol="0" dragToPage="0" showAll="0"/>
  </pivotFields>
  <rowFields count="1">
    <field x="10"/>
  </rowFields>
  <rowItems count="13">
    <i>
      <x v="5"/>
    </i>
    <i>
      <x v="6"/>
    </i>
    <i>
      <x v="2"/>
    </i>
    <i>
      <x v="9"/>
    </i>
    <i>
      <x v="11"/>
    </i>
    <i>
      <x v="8"/>
    </i>
    <i>
      <x v="3"/>
    </i>
    <i>
      <x/>
    </i>
    <i>
      <x v="4"/>
    </i>
    <i>
      <x v="1"/>
    </i>
    <i>
      <x v="10"/>
    </i>
    <i>
      <x v="7"/>
    </i>
    <i t="grand">
      <x/>
    </i>
  </rowItems>
  <colFields count="1">
    <field x="-2"/>
  </colFields>
  <colItems count="2">
    <i>
      <x/>
    </i>
    <i i="1">
      <x v="1"/>
    </i>
  </colItems>
  <dataFields count="2">
    <dataField name="$ Sales" fld="12" baseField="0" baseItem="0" numFmtId="3"/>
    <dataField name="Quantity " fld="6" baseField="10" baseItem="15" numFmtId="1"/>
  </dataFields>
  <formats count="7">
    <format dxfId="29">
      <pivotArea dataOnly="0" labelOnly="1" outline="0" axis="axisValues" fieldPosition="0"/>
    </format>
    <format dxfId="28">
      <pivotArea dataOnly="0" labelOnly="1" outline="0" axis="axisValues" fieldPosition="0"/>
    </format>
    <format dxfId="27">
      <pivotArea outline="0" fieldPosition="0">
        <references count="1">
          <reference field="4294967294" count="1">
            <x v="0"/>
          </reference>
        </references>
      </pivotArea>
    </format>
    <format dxfId="26">
      <pivotArea outline="0" fieldPosition="0">
        <references count="1">
          <reference field="4294967294" count="1">
            <x v="0"/>
          </reference>
        </references>
      </pivotArea>
    </format>
    <format dxfId="25">
      <pivotArea outline="0" fieldPosition="0">
        <references count="1">
          <reference field="4294967294" count="1">
            <x v="1"/>
          </reference>
        </references>
      </pivotArea>
    </format>
    <format dxfId="24">
      <pivotArea dataOnly="0" labelOnly="1" outline="0" fieldPosition="0">
        <references count="1">
          <reference field="4294967294" count="1">
            <x v="0"/>
          </reference>
        </references>
      </pivotArea>
    </format>
    <format dxfId="23">
      <pivotArea dataOnly="0" labelOnly="1" outline="0" fieldPosition="0">
        <references count="1">
          <reference field="4294967294" count="1">
            <x v="1"/>
          </reference>
        </references>
      </pivotArea>
    </format>
  </formats>
  <pivotTableStyleInfo name="MyPivotStyle"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Company_Name" sourceName="Company Name">
  <pivotTables>
    <pivotTable tabId="3" name="PTArticle"/>
    <pivotTable tabId="3" name="PTReject"/>
  </pivotTables>
  <data>
    <tabular pivotCacheId="4">
      <items count="5">
        <i x="0" s="1"/>
        <i x="1" s="1"/>
        <i x="2" s="1" nd="1"/>
        <i x="4" s="1" nd="1"/>
        <i x="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ompany Name" cache="Slicer_Company_Name" caption="Company Name" columnCount="3" showCaption="0" style="MySlicer" rowHeight="225425"/>
</slicers>
</file>

<file path=xl/tables/table1.xml><?xml version="1.0" encoding="utf-8"?>
<table xmlns="http://schemas.openxmlformats.org/spreadsheetml/2006/main" id="7" name="TableTemp" displayName="TableTemp" ref="A1:M2" totalsRowShown="0" headerRowDxfId="10" dataDxfId="9">
  <tableColumns count="13">
    <tableColumn id="1" name="Company ID" dataDxfId="8"/>
    <tableColumn id="2" name="Sales Document"/>
    <tableColumn id="3" name="Document Date" dataDxfId="0"/>
    <tableColumn id="4" name="Customer code"/>
    <tableColumn id="5" name="Article code"/>
    <tableColumn id="6" name="Reject"/>
    <tableColumn id="7" name="Quantity"/>
    <tableColumn id="8" name="Sales Value"/>
    <tableColumn id="9" name="Company Name" dataDxfId="7">
      <calculatedColumnFormula>IFERROR(VLOOKUP(A2,MCompany[],2,FALSE),"")</calculatedColumnFormula>
    </tableColumn>
    <tableColumn id="10" name="Customer Name" dataDxfId="6">
      <calculatedColumnFormula>IFERROR(VLOOKUP(RegionTemp!$D2,MCustomer[],2,FALSE),"")</calculatedColumnFormula>
    </tableColumn>
    <tableColumn id="11" name="Article Description" dataDxfId="5">
      <calculatedColumnFormula>IFERROR(VLOOKUP(RegionTemp!$E2,MArticle[],2,FALSE),"")</calculatedColumnFormula>
    </tableColumn>
    <tableColumn id="12" name="Currency" dataDxfId="4">
      <calculatedColumnFormula>IFERROR(VLOOKUP(RegionTemp!$A2,MCompany[],3,FALSE),"")</calculatedColumnFormula>
    </tableColumn>
    <tableColumn id="13" name="Sales US Dollar" dataDxfId="3">
      <calculatedColumnFormula>IFERROR(IF(RegionTemp!$L2="EUR",ROUND(VLOOKUP(MONTH(RegionTemp!$C2),MExchange[],2,FALSE)*RegionTemp!$H2,2),ROUND(RegionTemp!$H2,2)),"")</calculatedColumnFormula>
    </tableColumn>
  </tableColumns>
  <tableStyleInfo name="Table Style 1" showFirstColumn="0" showLastColumn="0" showRowStripes="0" showColumnStripes="0"/>
</table>
</file>

<file path=xl/tables/table2.xml><?xml version="1.0" encoding="utf-8"?>
<table xmlns="http://schemas.openxmlformats.org/spreadsheetml/2006/main" id="3" name="MCompany" displayName="MCompany" ref="B8:E12" tableBorderDxfId="2">
  <tableColumns count="4">
    <tableColumn id="1" name="Company code" totalsRowLabel="Total"/>
    <tableColumn id="2" name="Company Name"/>
    <tableColumn id="3" name="Currency" totalsRowFunction="count"/>
    <tableColumn id="4" name="Region"/>
  </tableColumns>
  <tableStyleInfo showFirstColumn="0" showLastColumn="0" showRowStripes="1" showColumnStripes="0"/>
</table>
</file>

<file path=xl/tables/table3.xml><?xml version="1.0" encoding="utf-8"?>
<table xmlns="http://schemas.openxmlformats.org/spreadsheetml/2006/main" id="4" name="MCustomer" displayName="MCustomer" ref="B16:C22" totalsRowShown="0">
  <tableColumns count="2">
    <tableColumn id="1" name="Customer code"/>
    <tableColumn id="2" name="Customer Name"/>
  </tableColumns>
  <tableStyleInfo name="Table Style 1 2" showFirstColumn="0" showLastColumn="0" showRowStripes="1" showColumnStripes="0"/>
</table>
</file>

<file path=xl/tables/table4.xml><?xml version="1.0" encoding="utf-8"?>
<table xmlns="http://schemas.openxmlformats.org/spreadsheetml/2006/main" id="5" name="MArticle" displayName="MArticle" ref="B26:C46" totalsRowShown="0">
  <tableColumns count="2">
    <tableColumn id="1" name="Article code" dataDxfId="1"/>
    <tableColumn id="2" name="Description"/>
  </tableColumns>
  <tableStyleInfo name="Table Style 1 2" showFirstColumn="0" showLastColumn="0" showRowStripes="1" showColumnStripes="0"/>
</table>
</file>

<file path=xl/tables/table5.xml><?xml version="1.0" encoding="utf-8"?>
<table xmlns="http://schemas.openxmlformats.org/spreadsheetml/2006/main" id="6" name="MExchange" displayName="MExchange" ref="B52:C64" totalsRowShown="0">
  <tableColumns count="2">
    <tableColumn id="1" name="Month"/>
    <tableColumn id="2" name="EUR to $"/>
  </tableColumns>
  <tableStyleInfo name="Table Style 1 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table" Target="../tables/table1.xml"/><Relationship Id="rId5" Type="http://schemas.openxmlformats.org/officeDocument/2006/relationships/drawing" Target="../drawings/drawing2.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tart"/>
  <dimension ref="A1:Q26"/>
  <sheetViews>
    <sheetView showGridLines="0" tabSelected="1" workbookViewId="0">
      <selection activeCell="J14" sqref="J14"/>
    </sheetView>
  </sheetViews>
  <sheetFormatPr defaultColWidth="0" defaultRowHeight="15" zeroHeight="1" x14ac:dyDescent="0.25"/>
  <cols>
    <col min="1" max="17" width="9.140625" customWidth="1"/>
    <col min="18" max="16384" width="9.140625" hidden="1"/>
  </cols>
  <sheetData>
    <row r="1" x14ac:dyDescent="0.25"/>
    <row r="2" x14ac:dyDescent="0.25"/>
    <row r="3" x14ac:dyDescent="0.25"/>
    <row r="4" x14ac:dyDescent="0.25"/>
    <row r="5" x14ac:dyDescent="0.25"/>
    <row r="6" x14ac:dyDescent="0.25"/>
    <row r="7" x14ac:dyDescent="0.25"/>
    <row r="8" x14ac:dyDescent="0.25"/>
    <row r="9" x14ac:dyDescent="0.25"/>
    <row r="10" x14ac:dyDescent="0.25"/>
    <row r="11" x14ac:dyDescent="0.25"/>
    <row r="12" x14ac:dyDescent="0.25"/>
    <row r="13" x14ac:dyDescent="0.25"/>
    <row r="14" x14ac:dyDescent="0.25"/>
    <row r="15" x14ac:dyDescent="0.25"/>
    <row r="16" x14ac:dyDescent="0.25"/>
    <row r="17" spans="1:8" x14ac:dyDescent="0.25"/>
    <row r="18" spans="1:8" x14ac:dyDescent="0.25">
      <c r="A18" s="31" t="s">
        <v>78</v>
      </c>
      <c r="B18" s="24"/>
      <c r="C18" s="24"/>
      <c r="D18" s="24"/>
      <c r="E18" s="24"/>
      <c r="F18" s="24"/>
      <c r="G18" s="24"/>
      <c r="H18" s="24"/>
    </row>
    <row r="19" spans="1:8" x14ac:dyDescent="0.25"/>
    <row r="20" spans="1:8" x14ac:dyDescent="0.25"/>
    <row r="21" spans="1:8" x14ac:dyDescent="0.25"/>
    <row r="22" spans="1:8" x14ac:dyDescent="0.25"/>
    <row r="23" spans="1:8" x14ac:dyDescent="0.25"/>
    <row r="24" spans="1:8" x14ac:dyDescent="0.25"/>
    <row r="25" spans="1:8" x14ac:dyDescent="0.25"/>
    <row r="26" spans="1:8" x14ac:dyDescent="0.25"/>
  </sheetData>
  <pageMargins left="0.7" right="0.7" top="0.75" bottom="0.75" header="0.3" footer="0.3"/>
  <pageSetup orientation="portrait" r:id="rId1"/>
  <drawing r:id="rId2"/>
  <legacyDrawing r:id="rId3"/>
  <controls>
    <mc:AlternateContent xmlns:mc="http://schemas.openxmlformats.org/markup-compatibility/2006">
      <mc:Choice Requires="x14">
        <control shapeId="1029" r:id="rId4" name="AxRegion">
          <controlPr defaultSize="0" autoLine="0" listFillRange="MRegion" r:id="rId5">
            <anchor moveWithCells="1">
              <from>
                <xdr:col>5</xdr:col>
                <xdr:colOff>590550</xdr:colOff>
                <xdr:row>10</xdr:row>
                <xdr:rowOff>161925</xdr:rowOff>
              </from>
              <to>
                <xdr:col>7</xdr:col>
                <xdr:colOff>409575</xdr:colOff>
                <xdr:row>12</xdr:row>
                <xdr:rowOff>0</xdr:rowOff>
              </to>
            </anchor>
          </controlPr>
        </control>
      </mc:Choice>
      <mc:Fallback>
        <control shapeId="1029" r:id="rId4" name="AxRegion"/>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all"/>
  <dimension ref="A1:H1"/>
  <sheetViews>
    <sheetView workbookViewId="0">
      <selection activeCell="H37" sqref="H37:H78"/>
    </sheetView>
  </sheetViews>
  <sheetFormatPr defaultRowHeight="15" x14ac:dyDescent="0.25"/>
  <cols>
    <col min="1" max="1" width="15.85546875" customWidth="1"/>
    <col min="2" max="2" width="18.7109375" customWidth="1"/>
    <col min="3" max="3" width="17.85546875" customWidth="1"/>
    <col min="4" max="4" width="19" customWidth="1"/>
    <col min="5" max="5" width="12.7109375" customWidth="1"/>
    <col min="6" max="6" width="13.140625" customWidth="1"/>
    <col min="7" max="7" width="11" customWidth="1"/>
    <col min="8" max="8" width="11.5703125" customWidth="1"/>
  </cols>
  <sheetData>
    <row r="1" spans="1:8" ht="39.75" customHeight="1" x14ac:dyDescent="0.25">
      <c r="A1" s="30" t="s">
        <v>0</v>
      </c>
      <c r="B1" s="30" t="s">
        <v>1</v>
      </c>
      <c r="C1" s="30" t="s">
        <v>2</v>
      </c>
      <c r="D1" s="30" t="s">
        <v>3</v>
      </c>
      <c r="E1" s="30" t="s">
        <v>4</v>
      </c>
      <c r="F1" s="30" t="s">
        <v>5</v>
      </c>
      <c r="G1" s="30" t="s">
        <v>6</v>
      </c>
      <c r="H1" s="30" t="s">
        <v>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region"/>
  <dimension ref="A1:AU48"/>
  <sheetViews>
    <sheetView showGridLines="0" workbookViewId="0">
      <selection activeCell="E2" sqref="E2:E3"/>
    </sheetView>
  </sheetViews>
  <sheetFormatPr defaultRowHeight="15" x14ac:dyDescent="0.25"/>
  <cols>
    <col min="1" max="1" width="13" customWidth="1"/>
    <col min="2" max="2" width="15.5703125" customWidth="1"/>
    <col min="3" max="3" width="15.42578125" customWidth="1"/>
    <col min="4" max="4" width="15" customWidth="1"/>
    <col min="5" max="5" width="13.28515625" customWidth="1"/>
    <col min="6" max="6" width="11.85546875" customWidth="1"/>
    <col min="7" max="7" width="10" customWidth="1"/>
    <col min="8" max="8" width="11.85546875" customWidth="1"/>
    <col min="9" max="9" width="15.5703125" customWidth="1"/>
    <col min="10" max="10" width="16" customWidth="1"/>
    <col min="11" max="11" width="17.5703125" customWidth="1"/>
    <col min="12" max="12" width="10.140625" customWidth="1"/>
    <col min="13" max="13" width="14.42578125" customWidth="1"/>
    <col min="18" max="18" width="3.140625" customWidth="1"/>
    <col min="19" max="19" width="19.28515625" customWidth="1"/>
    <col min="20" max="20" width="15.85546875" customWidth="1"/>
    <col min="21" max="21" width="12.28515625" customWidth="1"/>
    <col min="23" max="23" width="2.42578125" customWidth="1"/>
    <col min="36" max="36" width="2.5703125" customWidth="1"/>
    <col min="37" max="37" width="35" bestFit="1" customWidth="1"/>
    <col min="38" max="38" width="16.42578125" bestFit="1" customWidth="1"/>
  </cols>
  <sheetData>
    <row r="1" spans="1:47" ht="34.5" customHeight="1" x14ac:dyDescent="0.25">
      <c r="A1" s="10" t="s">
        <v>0</v>
      </c>
      <c r="B1" s="10" t="s">
        <v>1</v>
      </c>
      <c r="C1" s="10" t="s">
        <v>2</v>
      </c>
      <c r="D1" s="10" t="s">
        <v>3</v>
      </c>
      <c r="E1" s="10" t="s">
        <v>4</v>
      </c>
      <c r="F1" s="10" t="s">
        <v>5</v>
      </c>
      <c r="G1" s="10" t="s">
        <v>6</v>
      </c>
      <c r="H1" s="10" t="s">
        <v>7</v>
      </c>
      <c r="I1" s="10" t="s">
        <v>9</v>
      </c>
      <c r="J1" s="10" t="s">
        <v>10</v>
      </c>
      <c r="K1" s="10" t="s">
        <v>11</v>
      </c>
      <c r="L1" s="10" t="s">
        <v>12</v>
      </c>
      <c r="M1" s="10" t="s">
        <v>13</v>
      </c>
      <c r="R1" s="3"/>
      <c r="S1" s="4" t="s">
        <v>14</v>
      </c>
      <c r="T1" s="5"/>
      <c r="U1" s="6">
        <v>201810</v>
      </c>
      <c r="W1" s="3"/>
      <c r="X1" s="4" t="s">
        <v>15</v>
      </c>
      <c r="Y1" s="5"/>
      <c r="Z1" s="5"/>
      <c r="AA1" s="5"/>
      <c r="AB1" s="5"/>
      <c r="AC1" s="5"/>
      <c r="AD1" s="5"/>
      <c r="AE1" s="5"/>
      <c r="AF1" s="5"/>
      <c r="AG1" s="5"/>
      <c r="AJ1" s="7"/>
      <c r="AK1" s="4" t="s">
        <v>16</v>
      </c>
      <c r="AL1" s="4"/>
      <c r="AM1" s="5"/>
      <c r="AN1" s="5"/>
      <c r="AO1" s="5"/>
      <c r="AP1" s="5"/>
      <c r="AQ1" s="5"/>
      <c r="AR1" s="5"/>
      <c r="AS1" s="5"/>
      <c r="AT1" s="5"/>
      <c r="AU1" s="5"/>
    </row>
    <row r="2" spans="1:47" x14ac:dyDescent="0.25">
      <c r="A2" t="s">
        <v>8</v>
      </c>
      <c r="B2">
        <v>84030</v>
      </c>
      <c r="C2" s="1">
        <v>43380</v>
      </c>
      <c r="D2">
        <v>8050</v>
      </c>
      <c r="E2">
        <v>120</v>
      </c>
      <c r="F2" t="s">
        <v>79</v>
      </c>
      <c r="G2">
        <v>120</v>
      </c>
      <c r="H2">
        <v>6960</v>
      </c>
      <c r="I2" s="2" t="str">
        <f>IFERROR(VLOOKUP(A2,MCompany[],2,FALSE),"")</f>
        <v>Bere Kleid</v>
      </c>
      <c r="J2" t="str">
        <f>IFERROR(VLOOKUP(RegionTemp!$D2,MCustomer[],2,FALSE),"")</f>
        <v>Aida GmbH</v>
      </c>
      <c r="K2" s="1" t="str">
        <f>IFERROR(VLOOKUP(RegionTemp!$E2,MArticle[],2,FALSE),"")</f>
        <v>Women evening dress Cocktail red</v>
      </c>
      <c r="L2" t="str">
        <f>IFERROR(VLOOKUP(RegionTemp!$A2,MCompany[],3,FALSE),"")</f>
        <v>EUR</v>
      </c>
      <c r="M2">
        <f>IFERROR(IF(RegionTemp!$L2="EUR",ROUND(VLOOKUP(MONTH(RegionTemp!$C2),MExchange[],2,FALSE)*RegionTemp!$H2,2),ROUND(RegionTemp!$H2,2)),"")</f>
        <v>8177.58</v>
      </c>
      <c r="S2" s="9" t="s">
        <v>17</v>
      </c>
      <c r="T2" t="s">
        <v>46</v>
      </c>
      <c r="U2" t="s">
        <v>19</v>
      </c>
    </row>
    <row r="3" spans="1:47" x14ac:dyDescent="0.25">
      <c r="S3" t="s">
        <v>21</v>
      </c>
      <c r="T3" s="21">
        <v>174854.43999999997</v>
      </c>
      <c r="U3" s="11">
        <v>0.269528218595045</v>
      </c>
      <c r="AG3" s="12"/>
      <c r="AK3" s="9" t="s">
        <v>41</v>
      </c>
      <c r="AL3" s="17" t="s">
        <v>42</v>
      </c>
      <c r="AM3" s="8" t="s">
        <v>43</v>
      </c>
    </row>
    <row r="4" spans="1:47" x14ac:dyDescent="0.25">
      <c r="S4" t="s">
        <v>20</v>
      </c>
      <c r="T4" s="21">
        <v>378530.11</v>
      </c>
      <c r="U4" s="11">
        <v>0.58348273131003381</v>
      </c>
      <c r="AG4" s="12"/>
      <c r="AK4" s="18" t="s">
        <v>44</v>
      </c>
      <c r="AL4" s="13"/>
      <c r="AM4" s="13"/>
    </row>
    <row r="5" spans="1:47" x14ac:dyDescent="0.25">
      <c r="S5" t="s">
        <v>23</v>
      </c>
      <c r="T5" s="21">
        <v>36846.080000000002</v>
      </c>
      <c r="U5" s="11">
        <v>5.6796146009277869E-2</v>
      </c>
      <c r="X5" s="9" t="s">
        <v>25</v>
      </c>
      <c r="Y5" s="8" t="s">
        <v>18</v>
      </c>
      <c r="Z5" s="8" t="s">
        <v>26</v>
      </c>
      <c r="AC5" s="9" t="s">
        <v>25</v>
      </c>
      <c r="AD5" s="8" t="s">
        <v>27</v>
      </c>
      <c r="AE5" s="8" t="s">
        <v>28</v>
      </c>
      <c r="AG5" s="12"/>
      <c r="AK5" s="19" t="s">
        <v>21</v>
      </c>
      <c r="AL5" s="13"/>
      <c r="AM5" s="13"/>
    </row>
    <row r="6" spans="1:47" x14ac:dyDescent="0.25">
      <c r="S6" t="s">
        <v>22</v>
      </c>
      <c r="T6" s="21">
        <v>58511.98</v>
      </c>
      <c r="U6" s="11">
        <v>9.0192904085643483E-2</v>
      </c>
      <c r="X6" t="s">
        <v>31</v>
      </c>
      <c r="Y6" s="13">
        <v>159321.73000000001</v>
      </c>
      <c r="Z6" s="14">
        <v>2260</v>
      </c>
      <c r="AC6" t="s">
        <v>35</v>
      </c>
      <c r="AD6" s="15">
        <v>6</v>
      </c>
      <c r="AE6" s="16">
        <v>3.2786885245901639E-3</v>
      </c>
      <c r="AG6" s="12"/>
      <c r="AK6" s="20" t="s">
        <v>32</v>
      </c>
      <c r="AL6" s="13">
        <v>42250.810000000005</v>
      </c>
      <c r="AM6" s="13">
        <v>620</v>
      </c>
    </row>
    <row r="7" spans="1:47" x14ac:dyDescent="0.25">
      <c r="S7" t="s">
        <v>24</v>
      </c>
      <c r="T7" s="21">
        <v>648742.60999999987</v>
      </c>
      <c r="U7" s="11">
        <v>1</v>
      </c>
      <c r="X7" t="s">
        <v>29</v>
      </c>
      <c r="Y7" s="13">
        <v>158804.76</v>
      </c>
      <c r="Z7" s="14">
        <v>2180</v>
      </c>
      <c r="AC7" t="s">
        <v>30</v>
      </c>
      <c r="AD7" s="15">
        <v>4</v>
      </c>
      <c r="AE7" s="16">
        <v>3.9215686274509803E-3</v>
      </c>
      <c r="AG7" s="12"/>
      <c r="AK7" s="20" t="s">
        <v>37</v>
      </c>
      <c r="AL7" s="13">
        <v>26318.63</v>
      </c>
      <c r="AM7" s="13">
        <v>800</v>
      </c>
    </row>
    <row r="8" spans="1:47" x14ac:dyDescent="0.25">
      <c r="X8" t="s">
        <v>32</v>
      </c>
      <c r="Y8" s="13">
        <v>104945.56</v>
      </c>
      <c r="Z8" s="14">
        <v>1540</v>
      </c>
      <c r="AC8" t="s">
        <v>31</v>
      </c>
      <c r="AD8" s="15">
        <v>2</v>
      </c>
      <c r="AE8" s="16">
        <v>8.8495575221238937E-4</v>
      </c>
      <c r="AG8" s="12"/>
      <c r="AK8" s="20" t="s">
        <v>29</v>
      </c>
      <c r="AL8" s="13">
        <v>26224.639999999999</v>
      </c>
      <c r="AM8" s="13">
        <v>360</v>
      </c>
    </row>
    <row r="9" spans="1:47" x14ac:dyDescent="0.25">
      <c r="X9" t="s">
        <v>35</v>
      </c>
      <c r="Y9" s="13">
        <v>60203.890000000007</v>
      </c>
      <c r="Z9" s="14">
        <v>1830</v>
      </c>
      <c r="AC9" t="s">
        <v>36</v>
      </c>
      <c r="AD9" s="15">
        <v>1</v>
      </c>
      <c r="AE9" s="16">
        <v>1.3888888888888889E-3</v>
      </c>
      <c r="AG9" s="12"/>
      <c r="AK9" s="20" t="s">
        <v>38</v>
      </c>
      <c r="AL9" s="13">
        <v>12266.369999999999</v>
      </c>
      <c r="AM9" s="13">
        <v>870</v>
      </c>
    </row>
    <row r="10" spans="1:47" x14ac:dyDescent="0.25">
      <c r="X10" t="s">
        <v>37</v>
      </c>
      <c r="Y10" s="13">
        <v>50992.350000000006</v>
      </c>
      <c r="Z10" s="14">
        <v>1550</v>
      </c>
      <c r="AC10" t="s">
        <v>38</v>
      </c>
      <c r="AD10" s="15">
        <v>1</v>
      </c>
      <c r="AE10" s="16">
        <v>5.7471264367816091E-4</v>
      </c>
      <c r="AG10" s="12"/>
      <c r="AK10" s="20" t="s">
        <v>39</v>
      </c>
      <c r="AL10" s="13">
        <v>8882.5400000000009</v>
      </c>
      <c r="AM10" s="13">
        <v>630</v>
      </c>
    </row>
    <row r="11" spans="1:47" x14ac:dyDescent="0.25">
      <c r="X11" t="s">
        <v>34</v>
      </c>
      <c r="Y11" s="13">
        <v>38068.030000000006</v>
      </c>
      <c r="Z11" s="14">
        <v>1620</v>
      </c>
      <c r="AC11" t="s">
        <v>33</v>
      </c>
      <c r="AD11" s="15">
        <v>1</v>
      </c>
      <c r="AE11" s="16">
        <v>3.3898305084745765E-4</v>
      </c>
      <c r="AG11" s="12"/>
      <c r="AK11" s="20" t="s">
        <v>40</v>
      </c>
      <c r="AL11" s="13">
        <v>5710.2</v>
      </c>
      <c r="AM11" s="13">
        <v>810</v>
      </c>
    </row>
    <row r="12" spans="1:47" x14ac:dyDescent="0.25">
      <c r="X12" t="s">
        <v>38</v>
      </c>
      <c r="Y12" s="13">
        <v>24532.73</v>
      </c>
      <c r="Z12" s="14">
        <v>1740</v>
      </c>
      <c r="AC12" t="s">
        <v>29</v>
      </c>
      <c r="AD12" s="15">
        <v>1</v>
      </c>
      <c r="AE12" s="16">
        <v>4.5871559633027525E-4</v>
      </c>
      <c r="AG12" s="12"/>
      <c r="AK12" s="20" t="s">
        <v>33</v>
      </c>
      <c r="AL12" s="13">
        <v>5639.71</v>
      </c>
      <c r="AM12" s="13">
        <v>960</v>
      </c>
    </row>
    <row r="13" spans="1:47" x14ac:dyDescent="0.25">
      <c r="X13" t="s">
        <v>33</v>
      </c>
      <c r="Y13" s="13">
        <v>17330.36</v>
      </c>
      <c r="Z13" s="14">
        <v>2950</v>
      </c>
      <c r="AC13" t="s">
        <v>24</v>
      </c>
      <c r="AD13" s="15">
        <v>16</v>
      </c>
      <c r="AE13" s="16">
        <v>1.2598425196850393E-3</v>
      </c>
      <c r="AG13" s="12"/>
      <c r="AK13" s="20" t="s">
        <v>36</v>
      </c>
      <c r="AL13" s="13">
        <v>1409.93</v>
      </c>
      <c r="AM13" s="13">
        <v>120</v>
      </c>
    </row>
    <row r="14" spans="1:47" x14ac:dyDescent="0.25">
      <c r="X14" t="s">
        <v>39</v>
      </c>
      <c r="Y14" s="13">
        <v>10433.460000000001</v>
      </c>
      <c r="Z14" s="14">
        <v>740</v>
      </c>
      <c r="AG14" s="12"/>
      <c r="AK14" s="19" t="s">
        <v>80</v>
      </c>
      <c r="AL14" s="13">
        <v>128702.83000000002</v>
      </c>
      <c r="AM14" s="13">
        <v>5170</v>
      </c>
    </row>
    <row r="15" spans="1:47" x14ac:dyDescent="0.25">
      <c r="X15" t="s">
        <v>36</v>
      </c>
      <c r="Y15" s="13">
        <v>8459.5600000000013</v>
      </c>
      <c r="Z15" s="14">
        <v>720</v>
      </c>
      <c r="AG15" s="12"/>
      <c r="AK15" s="19" t="s">
        <v>20</v>
      </c>
      <c r="AL15" s="13"/>
      <c r="AM15" s="13"/>
    </row>
    <row r="16" spans="1:47" x14ac:dyDescent="0.25">
      <c r="X16" t="s">
        <v>40</v>
      </c>
      <c r="Y16" s="13">
        <v>8459.56</v>
      </c>
      <c r="Z16" s="14">
        <v>1200</v>
      </c>
      <c r="AG16" s="12"/>
      <c r="AK16" s="20" t="s">
        <v>31</v>
      </c>
      <c r="AL16" s="13">
        <v>119138.81</v>
      </c>
      <c r="AM16" s="13">
        <v>1690</v>
      </c>
    </row>
    <row r="17" spans="24:39" x14ac:dyDescent="0.25">
      <c r="X17" t="s">
        <v>30</v>
      </c>
      <c r="Y17" s="13">
        <v>7190.6200000000008</v>
      </c>
      <c r="Z17" s="14">
        <v>1020</v>
      </c>
      <c r="AG17" s="12"/>
      <c r="AK17" s="20" t="s">
        <v>29</v>
      </c>
      <c r="AL17" s="13">
        <v>108540.87</v>
      </c>
      <c r="AM17" s="13">
        <v>1490</v>
      </c>
    </row>
    <row r="18" spans="24:39" x14ac:dyDescent="0.25">
      <c r="X18" t="s">
        <v>24</v>
      </c>
      <c r="Y18" s="13">
        <v>648742.6100000001</v>
      </c>
      <c r="Z18" s="14">
        <v>19350</v>
      </c>
      <c r="AG18" s="12"/>
      <c r="AK18" s="20" t="s">
        <v>32</v>
      </c>
      <c r="AL18" s="13">
        <v>62694.75</v>
      </c>
      <c r="AM18" s="13">
        <v>920</v>
      </c>
    </row>
    <row r="19" spans="24:39" x14ac:dyDescent="0.25">
      <c r="AG19" s="12"/>
      <c r="AK19" s="20" t="s">
        <v>34</v>
      </c>
      <c r="AL19" s="13">
        <v>31488.370000000003</v>
      </c>
      <c r="AM19" s="13">
        <v>1340</v>
      </c>
    </row>
    <row r="20" spans="24:39" x14ac:dyDescent="0.25">
      <c r="AG20" s="12"/>
      <c r="AK20" s="20" t="s">
        <v>35</v>
      </c>
      <c r="AL20" s="13">
        <v>26976.6</v>
      </c>
      <c r="AM20" s="13">
        <v>820</v>
      </c>
    </row>
    <row r="21" spans="24:39" x14ac:dyDescent="0.25">
      <c r="AG21" s="12"/>
      <c r="AK21" s="20" t="s">
        <v>38</v>
      </c>
      <c r="AL21" s="13">
        <v>12266.36</v>
      </c>
      <c r="AM21" s="13">
        <v>870</v>
      </c>
    </row>
    <row r="22" spans="24:39" x14ac:dyDescent="0.25">
      <c r="AG22" s="12"/>
      <c r="AK22" s="20" t="s">
        <v>33</v>
      </c>
      <c r="AL22" s="13">
        <v>8988.2900000000009</v>
      </c>
      <c r="AM22" s="13">
        <v>1530</v>
      </c>
    </row>
    <row r="23" spans="24:39" x14ac:dyDescent="0.25">
      <c r="AG23" s="12"/>
      <c r="AK23" s="20" t="s">
        <v>30</v>
      </c>
      <c r="AL23" s="13">
        <v>5357.72</v>
      </c>
      <c r="AM23" s="13">
        <v>760</v>
      </c>
    </row>
    <row r="24" spans="24:39" x14ac:dyDescent="0.25">
      <c r="AG24" s="12"/>
      <c r="AK24" s="20" t="s">
        <v>39</v>
      </c>
      <c r="AL24" s="13">
        <v>1550.92</v>
      </c>
      <c r="AM24" s="13">
        <v>110</v>
      </c>
    </row>
    <row r="25" spans="24:39" x14ac:dyDescent="0.25">
      <c r="AG25" s="12"/>
      <c r="AK25" s="20" t="s">
        <v>36</v>
      </c>
      <c r="AL25" s="13">
        <v>1527.42</v>
      </c>
      <c r="AM25" s="13">
        <v>130</v>
      </c>
    </row>
    <row r="26" spans="24:39" x14ac:dyDescent="0.25">
      <c r="AG26" s="12"/>
      <c r="AK26" s="19" t="s">
        <v>82</v>
      </c>
      <c r="AL26" s="13">
        <v>378530.10999999993</v>
      </c>
      <c r="AM26" s="13">
        <v>9660</v>
      </c>
    </row>
    <row r="27" spans="24:39" x14ac:dyDescent="0.25">
      <c r="AG27" s="12"/>
      <c r="AK27" s="19" t="s">
        <v>23</v>
      </c>
      <c r="AL27" s="13"/>
      <c r="AM27" s="13"/>
    </row>
    <row r="28" spans="24:39" x14ac:dyDescent="0.25">
      <c r="AG28" s="12"/>
      <c r="AK28" s="20" t="s">
        <v>29</v>
      </c>
      <c r="AL28" s="13">
        <v>24039.25</v>
      </c>
      <c r="AM28" s="13">
        <v>330</v>
      </c>
    </row>
    <row r="29" spans="24:39" x14ac:dyDescent="0.25">
      <c r="AG29" s="12"/>
      <c r="AK29" s="20" t="s">
        <v>36</v>
      </c>
      <c r="AL29" s="13">
        <v>5522.21</v>
      </c>
      <c r="AM29" s="13">
        <v>470</v>
      </c>
    </row>
    <row r="30" spans="24:39" x14ac:dyDescent="0.25">
      <c r="AG30" s="12"/>
      <c r="AK30" s="20" t="s">
        <v>40</v>
      </c>
      <c r="AL30" s="13">
        <v>2749.36</v>
      </c>
      <c r="AM30" s="13">
        <v>390</v>
      </c>
    </row>
    <row r="31" spans="24:39" x14ac:dyDescent="0.25">
      <c r="AG31" s="12"/>
      <c r="AK31" s="20" t="s">
        <v>33</v>
      </c>
      <c r="AL31" s="13">
        <v>2702.36</v>
      </c>
      <c r="AM31" s="13">
        <v>460</v>
      </c>
    </row>
    <row r="32" spans="24:39" x14ac:dyDescent="0.25">
      <c r="AG32" s="12"/>
      <c r="AK32" s="20" t="s">
        <v>30</v>
      </c>
      <c r="AL32" s="13">
        <v>1832.9</v>
      </c>
      <c r="AM32" s="13">
        <v>260</v>
      </c>
    </row>
    <row r="33" spans="33:39" x14ac:dyDescent="0.25">
      <c r="AG33" s="12"/>
      <c r="AK33" s="19" t="s">
        <v>83</v>
      </c>
      <c r="AL33" s="13">
        <v>36846.080000000002</v>
      </c>
      <c r="AM33" s="13">
        <v>1910</v>
      </c>
    </row>
    <row r="34" spans="33:39" x14ac:dyDescent="0.25">
      <c r="AG34" s="12"/>
      <c r="AK34" s="18" t="s">
        <v>81</v>
      </c>
      <c r="AL34" s="13">
        <v>544079.02</v>
      </c>
      <c r="AM34" s="13">
        <v>16740</v>
      </c>
    </row>
    <row r="35" spans="33:39" x14ac:dyDescent="0.25">
      <c r="AG35" s="12"/>
      <c r="AK35" s="18" t="s">
        <v>45</v>
      </c>
      <c r="AL35" s="13"/>
      <c r="AM35" s="13"/>
    </row>
    <row r="36" spans="33:39" x14ac:dyDescent="0.25">
      <c r="AG36" s="12"/>
      <c r="AK36" s="19" t="s">
        <v>21</v>
      </c>
      <c r="AL36" s="13"/>
      <c r="AM36" s="13"/>
    </row>
    <row r="37" spans="33:39" x14ac:dyDescent="0.25">
      <c r="AG37" s="12"/>
      <c r="AK37" s="20" t="s">
        <v>31</v>
      </c>
      <c r="AL37" s="13">
        <v>16214.16</v>
      </c>
      <c r="AM37" s="13">
        <v>230</v>
      </c>
    </row>
    <row r="38" spans="33:39" x14ac:dyDescent="0.25">
      <c r="AG38" s="12"/>
      <c r="AK38" s="20" t="s">
        <v>37</v>
      </c>
      <c r="AL38" s="13">
        <v>11843.38</v>
      </c>
      <c r="AM38" s="13">
        <v>360</v>
      </c>
    </row>
    <row r="39" spans="33:39" x14ac:dyDescent="0.25">
      <c r="AK39" s="20" t="s">
        <v>35</v>
      </c>
      <c r="AL39" s="13">
        <v>11514.41</v>
      </c>
      <c r="AM39" s="13">
        <v>350</v>
      </c>
    </row>
    <row r="40" spans="33:39" x14ac:dyDescent="0.25">
      <c r="AK40" s="20" t="s">
        <v>34</v>
      </c>
      <c r="AL40" s="13">
        <v>6579.6600000000008</v>
      </c>
      <c r="AM40" s="13">
        <v>280</v>
      </c>
    </row>
    <row r="41" spans="33:39" x14ac:dyDescent="0.25">
      <c r="AK41" s="19" t="s">
        <v>80</v>
      </c>
      <c r="AL41" s="13">
        <v>46151.609999999993</v>
      </c>
      <c r="AM41" s="13">
        <v>1220</v>
      </c>
    </row>
    <row r="42" spans="33:39" x14ac:dyDescent="0.25">
      <c r="AK42" s="19" t="s">
        <v>22</v>
      </c>
      <c r="AL42" s="13"/>
      <c r="AM42" s="13"/>
    </row>
    <row r="43" spans="33:39" x14ac:dyDescent="0.25">
      <c r="AK43" s="20" t="s">
        <v>31</v>
      </c>
      <c r="AL43" s="13">
        <v>23968.760000000002</v>
      </c>
      <c r="AM43" s="13">
        <v>340</v>
      </c>
    </row>
    <row r="44" spans="33:39" x14ac:dyDescent="0.25">
      <c r="AK44" s="20" t="s">
        <v>35</v>
      </c>
      <c r="AL44" s="13">
        <v>21712.880000000005</v>
      </c>
      <c r="AM44" s="13">
        <v>660</v>
      </c>
    </row>
    <row r="45" spans="33:39" x14ac:dyDescent="0.25">
      <c r="AK45" s="20" t="s">
        <v>37</v>
      </c>
      <c r="AL45" s="13">
        <v>12830.34</v>
      </c>
      <c r="AM45" s="13">
        <v>390</v>
      </c>
    </row>
    <row r="46" spans="33:39" x14ac:dyDescent="0.25">
      <c r="AK46" s="19" t="s">
        <v>84</v>
      </c>
      <c r="AL46" s="13">
        <v>58511.98000000001</v>
      </c>
      <c r="AM46" s="13">
        <v>1390</v>
      </c>
    </row>
    <row r="47" spans="33:39" x14ac:dyDescent="0.25">
      <c r="AK47" s="18" t="s">
        <v>85</v>
      </c>
      <c r="AL47" s="13">
        <v>104663.59</v>
      </c>
      <c r="AM47" s="13">
        <v>2610</v>
      </c>
    </row>
    <row r="48" spans="33:39" x14ac:dyDescent="0.25">
      <c r="AK48" s="18" t="s">
        <v>24</v>
      </c>
      <c r="AL48" s="13">
        <v>648742.6100000001</v>
      </c>
      <c r="AM48" s="13">
        <v>19350</v>
      </c>
    </row>
  </sheetData>
  <pageMargins left="0.7" right="0.7" top="0.75" bottom="0.75" header="0.3" footer="0.3"/>
  <drawing r:id="rId5"/>
  <tableParts count="1">
    <tablePart r:id="rId6"/>
  </tableParts>
  <extLst>
    <ext xmlns:x14="http://schemas.microsoft.com/office/spreadsheetml/2009/9/main" uri="{A8765BA9-456A-4dab-B4F3-ACF838C121DE}">
      <x14:slicerList>
        <x14:slicer r:id="rId7"/>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map"/>
  <dimension ref="A1:J68"/>
  <sheetViews>
    <sheetView showGridLines="0" workbookViewId="0">
      <selection activeCell="B10" sqref="B10"/>
    </sheetView>
  </sheetViews>
  <sheetFormatPr defaultRowHeight="15" x14ac:dyDescent="0.25"/>
  <cols>
    <col min="1" max="1" width="8.7109375" customWidth="1"/>
    <col min="2" max="2" width="21.7109375" customWidth="1"/>
    <col min="3" max="3" width="19.28515625" customWidth="1"/>
    <col min="4" max="4" width="15.140625" customWidth="1"/>
    <col min="6" max="6" width="29.85546875" customWidth="1"/>
    <col min="7" max="7" width="13.7109375" customWidth="1"/>
    <col min="14" max="14" width="22.5703125" customWidth="1"/>
  </cols>
  <sheetData>
    <row r="1" spans="1:10" x14ac:dyDescent="0.25">
      <c r="A1" s="22"/>
      <c r="B1" s="22"/>
      <c r="C1" s="22"/>
      <c r="D1" s="22"/>
      <c r="E1" s="22"/>
      <c r="F1" s="22"/>
      <c r="G1" s="22"/>
      <c r="H1" s="22"/>
      <c r="I1" s="22"/>
      <c r="J1" s="22"/>
    </row>
    <row r="2" spans="1:10" x14ac:dyDescent="0.25">
      <c r="A2" s="23"/>
      <c r="B2" s="23" t="s">
        <v>47</v>
      </c>
      <c r="C2" s="23"/>
      <c r="D2" s="23"/>
      <c r="E2" s="23"/>
      <c r="F2" s="23"/>
      <c r="G2" s="23"/>
      <c r="H2" s="23"/>
      <c r="I2" s="23"/>
      <c r="J2" s="23"/>
    </row>
    <row r="3" spans="1:10" x14ac:dyDescent="0.25">
      <c r="A3" s="23"/>
      <c r="B3" s="23" t="s">
        <v>48</v>
      </c>
      <c r="C3" s="23"/>
      <c r="D3" s="23"/>
      <c r="E3" s="23"/>
      <c r="F3" s="23"/>
      <c r="G3" s="23"/>
      <c r="H3" s="23"/>
      <c r="I3" s="23"/>
      <c r="J3" s="23"/>
    </row>
    <row r="4" spans="1:10" x14ac:dyDescent="0.25">
      <c r="A4" s="22"/>
      <c r="B4" s="22"/>
      <c r="C4" s="22"/>
      <c r="D4" s="22"/>
      <c r="E4" s="22"/>
      <c r="F4" s="22"/>
      <c r="G4" s="22"/>
      <c r="H4" s="22"/>
      <c r="I4" s="22"/>
      <c r="J4" s="22"/>
    </row>
    <row r="6" spans="1:10" x14ac:dyDescent="0.25">
      <c r="A6" s="24" t="s">
        <v>49</v>
      </c>
      <c r="B6" s="24"/>
      <c r="C6" s="24"/>
      <c r="D6" s="24"/>
      <c r="E6" s="24"/>
      <c r="F6" s="24"/>
      <c r="G6" s="24"/>
      <c r="H6" s="24"/>
      <c r="I6" s="24"/>
      <c r="J6" s="24"/>
    </row>
    <row r="7" spans="1:10" x14ac:dyDescent="0.25">
      <c r="A7" s="25"/>
      <c r="B7" s="25"/>
      <c r="C7" s="25"/>
      <c r="D7" s="25"/>
      <c r="E7" s="25"/>
      <c r="F7" s="25"/>
      <c r="G7" s="25"/>
      <c r="H7" s="25"/>
      <c r="I7" s="25"/>
      <c r="J7" s="25"/>
    </row>
    <row r="8" spans="1:10" ht="26.25" customHeight="1" x14ac:dyDescent="0.25">
      <c r="B8" s="26" t="s">
        <v>50</v>
      </c>
      <c r="C8" s="27" t="s">
        <v>9</v>
      </c>
      <c r="D8" s="27" t="s">
        <v>12</v>
      </c>
      <c r="E8" s="27" t="s">
        <v>51</v>
      </c>
      <c r="G8" s="27" t="s">
        <v>52</v>
      </c>
    </row>
    <row r="9" spans="1:10" x14ac:dyDescent="0.25">
      <c r="B9" t="s">
        <v>53</v>
      </c>
      <c r="C9" t="s">
        <v>54</v>
      </c>
      <c r="D9" t="s">
        <v>55</v>
      </c>
      <c r="E9" t="s">
        <v>56</v>
      </c>
      <c r="G9" t="s">
        <v>56</v>
      </c>
    </row>
    <row r="10" spans="1:10" x14ac:dyDescent="0.25">
      <c r="B10" t="s">
        <v>57</v>
      </c>
      <c r="C10" t="s">
        <v>58</v>
      </c>
      <c r="D10" t="s">
        <v>55</v>
      </c>
      <c r="E10" t="s">
        <v>56</v>
      </c>
      <c r="G10" t="s">
        <v>59</v>
      </c>
    </row>
    <row r="11" spans="1:10" x14ac:dyDescent="0.25">
      <c r="B11" s="28" t="s">
        <v>8</v>
      </c>
      <c r="C11" s="28" t="s">
        <v>44</v>
      </c>
      <c r="D11" s="28" t="s">
        <v>60</v>
      </c>
      <c r="E11" t="s">
        <v>59</v>
      </c>
    </row>
    <row r="12" spans="1:10" x14ac:dyDescent="0.25">
      <c r="B12" s="28" t="s">
        <v>61</v>
      </c>
      <c r="C12" s="28" t="s">
        <v>45</v>
      </c>
      <c r="D12" s="28" t="s">
        <v>60</v>
      </c>
      <c r="E12" t="s">
        <v>59</v>
      </c>
    </row>
    <row r="13" spans="1:10" x14ac:dyDescent="0.25">
      <c r="B13" s="28"/>
      <c r="C13" s="28"/>
      <c r="D13" s="28"/>
    </row>
    <row r="14" spans="1:10" x14ac:dyDescent="0.25">
      <c r="A14" s="24" t="s">
        <v>62</v>
      </c>
      <c r="B14" s="24"/>
      <c r="C14" s="24"/>
      <c r="D14" s="24"/>
      <c r="E14" s="24"/>
      <c r="F14" s="24"/>
      <c r="G14" s="24"/>
      <c r="H14" s="24"/>
      <c r="I14" s="24"/>
      <c r="J14" s="24"/>
    </row>
    <row r="15" spans="1:10" x14ac:dyDescent="0.25">
      <c r="A15" s="25"/>
      <c r="B15" s="25"/>
      <c r="C15" s="25"/>
      <c r="D15" s="25"/>
      <c r="E15" s="25"/>
      <c r="F15" s="25"/>
      <c r="G15" s="25"/>
      <c r="H15" s="25"/>
      <c r="I15" s="25"/>
      <c r="J15" s="25"/>
    </row>
    <row r="16" spans="1:10" x14ac:dyDescent="0.25">
      <c r="B16" s="26" t="s">
        <v>3</v>
      </c>
      <c r="C16" s="27" t="s">
        <v>10</v>
      </c>
    </row>
    <row r="17" spans="1:10" x14ac:dyDescent="0.25">
      <c r="B17">
        <v>8010</v>
      </c>
      <c r="C17" t="s">
        <v>63</v>
      </c>
    </row>
    <row r="18" spans="1:10" x14ac:dyDescent="0.25">
      <c r="B18">
        <v>8020</v>
      </c>
      <c r="C18" t="s">
        <v>64</v>
      </c>
    </row>
    <row r="19" spans="1:10" x14ac:dyDescent="0.25">
      <c r="B19">
        <v>8030</v>
      </c>
      <c r="C19" t="s">
        <v>23</v>
      </c>
    </row>
    <row r="20" spans="1:10" x14ac:dyDescent="0.25">
      <c r="B20">
        <v>8040</v>
      </c>
      <c r="C20" t="s">
        <v>20</v>
      </c>
    </row>
    <row r="21" spans="1:10" x14ac:dyDescent="0.25">
      <c r="B21">
        <v>8050</v>
      </c>
      <c r="C21" t="s">
        <v>21</v>
      </c>
    </row>
    <row r="22" spans="1:10" x14ac:dyDescent="0.25">
      <c r="B22">
        <v>8060</v>
      </c>
      <c r="C22" t="s">
        <v>22</v>
      </c>
    </row>
    <row r="24" spans="1:10" x14ac:dyDescent="0.25">
      <c r="A24" s="24" t="s">
        <v>65</v>
      </c>
      <c r="B24" s="24"/>
      <c r="C24" s="24"/>
      <c r="D24" s="24"/>
      <c r="E24" s="24"/>
      <c r="F24" s="24"/>
      <c r="G24" s="24"/>
      <c r="H24" s="24"/>
      <c r="I24" s="24"/>
      <c r="J24" s="24"/>
    </row>
    <row r="25" spans="1:10" x14ac:dyDescent="0.25">
      <c r="A25" s="25"/>
      <c r="B25" s="25"/>
      <c r="C25" s="25"/>
      <c r="D25" s="25"/>
      <c r="E25" s="25"/>
      <c r="F25" s="25"/>
      <c r="G25" s="25"/>
      <c r="H25" s="25"/>
      <c r="I25" s="25"/>
      <c r="J25" s="25"/>
    </row>
    <row r="26" spans="1:10" x14ac:dyDescent="0.25">
      <c r="B26" s="26" t="s">
        <v>4</v>
      </c>
      <c r="C26" s="27" t="s">
        <v>66</v>
      </c>
    </row>
    <row r="27" spans="1:10" x14ac:dyDescent="0.25">
      <c r="B27" s="29">
        <v>101</v>
      </c>
      <c r="C27" t="s">
        <v>67</v>
      </c>
      <c r="F27" s="29"/>
    </row>
    <row r="28" spans="1:10" x14ac:dyDescent="0.25">
      <c r="B28" s="29">
        <v>102</v>
      </c>
      <c r="C28" t="s">
        <v>68</v>
      </c>
      <c r="F28" s="29"/>
    </row>
    <row r="29" spans="1:10" x14ac:dyDescent="0.25">
      <c r="B29" s="29">
        <v>103</v>
      </c>
      <c r="C29" t="s">
        <v>39</v>
      </c>
      <c r="F29" s="29"/>
    </row>
    <row r="30" spans="1:10" x14ac:dyDescent="0.25">
      <c r="B30" s="29">
        <v>104</v>
      </c>
      <c r="C30" t="s">
        <v>38</v>
      </c>
      <c r="F30" s="29"/>
    </row>
    <row r="31" spans="1:10" x14ac:dyDescent="0.25">
      <c r="B31" s="29">
        <v>105</v>
      </c>
      <c r="C31" t="s">
        <v>36</v>
      </c>
      <c r="F31" s="29"/>
    </row>
    <row r="32" spans="1:10" x14ac:dyDescent="0.25">
      <c r="B32" s="29">
        <v>106</v>
      </c>
      <c r="C32" t="s">
        <v>69</v>
      </c>
      <c r="F32" s="29"/>
    </row>
    <row r="33" spans="1:6" x14ac:dyDescent="0.25">
      <c r="B33" s="29">
        <v>107</v>
      </c>
      <c r="C33" t="s">
        <v>33</v>
      </c>
      <c r="F33" s="29"/>
    </row>
    <row r="34" spans="1:6" x14ac:dyDescent="0.25">
      <c r="B34" s="29">
        <v>108</v>
      </c>
      <c r="C34" t="s">
        <v>37</v>
      </c>
      <c r="F34" s="29"/>
    </row>
    <row r="35" spans="1:6" x14ac:dyDescent="0.25">
      <c r="B35" s="29">
        <v>109</v>
      </c>
      <c r="C35" t="s">
        <v>35</v>
      </c>
      <c r="F35" s="29"/>
    </row>
    <row r="36" spans="1:6" x14ac:dyDescent="0.25">
      <c r="B36" s="29">
        <v>110</v>
      </c>
      <c r="C36" t="s">
        <v>31</v>
      </c>
      <c r="F36" s="29"/>
    </row>
    <row r="37" spans="1:6" x14ac:dyDescent="0.25">
      <c r="B37" s="29">
        <v>111</v>
      </c>
      <c r="C37" t="s">
        <v>34</v>
      </c>
      <c r="F37" s="29"/>
    </row>
    <row r="38" spans="1:6" x14ac:dyDescent="0.25">
      <c r="B38" s="29">
        <v>112</v>
      </c>
      <c r="C38" t="s">
        <v>70</v>
      </c>
      <c r="F38" s="29"/>
    </row>
    <row r="39" spans="1:6" x14ac:dyDescent="0.25">
      <c r="B39" s="29">
        <v>113</v>
      </c>
      <c r="C39" t="s">
        <v>71</v>
      </c>
      <c r="F39" s="29"/>
    </row>
    <row r="40" spans="1:6" x14ac:dyDescent="0.25">
      <c r="B40" s="29">
        <v>114</v>
      </c>
      <c r="C40" t="s">
        <v>72</v>
      </c>
      <c r="F40" s="29"/>
    </row>
    <row r="41" spans="1:6" x14ac:dyDescent="0.25">
      <c r="B41" s="29">
        <v>115</v>
      </c>
      <c r="C41" t="s">
        <v>40</v>
      </c>
      <c r="F41" s="29"/>
    </row>
    <row r="42" spans="1:6" x14ac:dyDescent="0.25">
      <c r="B42" s="29">
        <v>116</v>
      </c>
      <c r="C42" t="s">
        <v>30</v>
      </c>
      <c r="F42" s="29"/>
    </row>
    <row r="43" spans="1:6" x14ac:dyDescent="0.25">
      <c r="B43" s="29">
        <v>117</v>
      </c>
      <c r="C43" t="s">
        <v>73</v>
      </c>
      <c r="F43" s="29"/>
    </row>
    <row r="44" spans="1:6" x14ac:dyDescent="0.25">
      <c r="B44" s="29">
        <v>118</v>
      </c>
      <c r="C44" t="s">
        <v>74</v>
      </c>
      <c r="F44" s="29"/>
    </row>
    <row r="45" spans="1:6" x14ac:dyDescent="0.25">
      <c r="B45" s="29">
        <v>119</v>
      </c>
      <c r="C45" t="s">
        <v>29</v>
      </c>
      <c r="F45" s="29"/>
    </row>
    <row r="46" spans="1:6" x14ac:dyDescent="0.25">
      <c r="B46" s="29">
        <v>120</v>
      </c>
      <c r="C46" t="s">
        <v>32</v>
      </c>
      <c r="F46" s="29"/>
    </row>
    <row r="47" spans="1:6" x14ac:dyDescent="0.25">
      <c r="A47" s="29"/>
    </row>
    <row r="48" spans="1:6" x14ac:dyDescent="0.25">
      <c r="A48" s="29"/>
    </row>
    <row r="50" spans="1:10" x14ac:dyDescent="0.25">
      <c r="A50" s="24" t="s">
        <v>75</v>
      </c>
      <c r="B50" s="24"/>
      <c r="C50" s="24"/>
      <c r="D50" s="24"/>
      <c r="E50" s="24"/>
      <c r="F50" s="24"/>
      <c r="G50" s="24"/>
      <c r="H50" s="24"/>
      <c r="I50" s="24"/>
      <c r="J50" s="24"/>
    </row>
    <row r="51" spans="1:10" x14ac:dyDescent="0.25">
      <c r="A51" s="25"/>
      <c r="B51" s="25"/>
      <c r="C51" s="25"/>
      <c r="D51" s="25"/>
      <c r="E51" s="25"/>
      <c r="F51" s="25"/>
      <c r="G51" s="25"/>
      <c r="H51" s="25"/>
      <c r="I51" s="25"/>
      <c r="J51" s="25"/>
    </row>
    <row r="52" spans="1:10" x14ac:dyDescent="0.25">
      <c r="B52" s="26" t="s">
        <v>76</v>
      </c>
      <c r="C52" s="27" t="s">
        <v>77</v>
      </c>
    </row>
    <row r="53" spans="1:10" x14ac:dyDescent="0.25">
      <c r="B53">
        <v>1</v>
      </c>
      <c r="C53">
        <v>1.0629200000000001</v>
      </c>
    </row>
    <row r="54" spans="1:10" x14ac:dyDescent="0.25">
      <c r="B54">
        <v>2</v>
      </c>
      <c r="C54">
        <v>1.064889</v>
      </c>
    </row>
    <row r="55" spans="1:10" x14ac:dyDescent="0.25">
      <c r="B55">
        <v>3</v>
      </c>
      <c r="C55">
        <v>1.069491</v>
      </c>
    </row>
    <row r="56" spans="1:10" x14ac:dyDescent="0.25">
      <c r="B56">
        <v>4</v>
      </c>
      <c r="C56">
        <v>1.0708819999999999</v>
      </c>
    </row>
    <row r="57" spans="1:10" x14ac:dyDescent="0.25">
      <c r="B57">
        <v>5</v>
      </c>
      <c r="C57">
        <v>1.106112</v>
      </c>
    </row>
    <row r="58" spans="1:10" x14ac:dyDescent="0.25">
      <c r="B58">
        <v>6</v>
      </c>
      <c r="C58">
        <v>1.1229709999999999</v>
      </c>
    </row>
    <row r="59" spans="1:10" x14ac:dyDescent="0.25">
      <c r="B59">
        <v>7</v>
      </c>
      <c r="C59">
        <v>1.1528700000000001</v>
      </c>
    </row>
    <row r="60" spans="1:10" x14ac:dyDescent="0.25">
      <c r="B60">
        <v>8</v>
      </c>
      <c r="C60">
        <v>1.181608</v>
      </c>
    </row>
    <row r="61" spans="1:10" x14ac:dyDescent="0.25">
      <c r="B61">
        <v>9</v>
      </c>
      <c r="C61">
        <v>1.191249</v>
      </c>
    </row>
    <row r="62" spans="1:10" x14ac:dyDescent="0.25">
      <c r="B62">
        <v>10</v>
      </c>
      <c r="C62">
        <v>1.174939</v>
      </c>
    </row>
    <row r="63" spans="1:10" x14ac:dyDescent="0.25">
      <c r="B63">
        <v>11</v>
      </c>
      <c r="C63">
        <v>1.1745300000000001</v>
      </c>
    </row>
    <row r="64" spans="1:10" x14ac:dyDescent="0.25">
      <c r="B64">
        <v>12</v>
      </c>
      <c r="C64">
        <v>1.19095</v>
      </c>
    </row>
    <row r="68" spans="1:10" x14ac:dyDescent="0.25">
      <c r="A68" s="24"/>
      <c r="B68" s="24"/>
      <c r="C68" s="24"/>
      <c r="D68" s="24"/>
      <c r="E68" s="24"/>
      <c r="F68" s="24"/>
      <c r="G68" s="24"/>
      <c r="H68" s="24"/>
      <c r="I68" s="24"/>
      <c r="J68" s="24"/>
    </row>
  </sheetData>
  <pageMargins left="0.7" right="0.7" top="0.75" bottom="0.75" header="0.3" footer="0.3"/>
  <tableParts count="4">
    <tablePart r:id="rId1"/>
    <tablePart r:id="rId2"/>
    <tablePart r:id="rId3"/>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newdata"/>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Start</vt:lpstr>
      <vt:lpstr>Summary</vt:lpstr>
      <vt:lpstr>RegionTemp</vt:lpstr>
      <vt:lpstr>Map</vt:lpstr>
      <vt:lpstr>NewData</vt:lpstr>
      <vt:lpstr>MRegion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Shafi</dc:creator>
  <cp:lastModifiedBy>Shafi</cp:lastModifiedBy>
  <dcterms:created xsi:type="dcterms:W3CDTF">2024-03-03T23:32:01Z</dcterms:created>
  <dcterms:modified xsi:type="dcterms:W3CDTF">2024-03-31T20:00:09Z</dcterms:modified>
</cp:coreProperties>
</file>